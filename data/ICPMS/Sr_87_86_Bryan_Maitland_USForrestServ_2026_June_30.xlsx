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bryan_maitland_usda_gov/Documents/PROJECTS/mfsr_isoscape/data/"/>
    </mc:Choice>
  </mc:AlternateContent>
  <xr:revisionPtr revIDLastSave="1" documentId="13_ncr:1_{58577C71-E5FA-4E45-81A2-8C24556E41A3}" xr6:coauthVersionLast="47" xr6:coauthVersionMax="47" xr10:uidLastSave="{652DCF3D-4A3F-478D-AEE6-E76843147D55}"/>
  <bookViews>
    <workbookView xWindow="28680" yWindow="-120" windowWidth="29040" windowHeight="15720" xr2:uid="{C1C07E50-1197-E74D-9553-9B1CA0DDADBF}"/>
  </bookViews>
  <sheets>
    <sheet name="Samples" sheetId="1" r:id="rId1"/>
    <sheet name="QAQ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5" i="2" l="1"/>
  <c r="H44" i="2"/>
  <c r="H38" i="2"/>
  <c r="H37" i="2"/>
  <c r="H40" i="2" s="1"/>
  <c r="H23" i="2"/>
  <c r="H22" i="2"/>
  <c r="H25" i="2" s="1"/>
  <c r="I20" i="1"/>
  <c r="H20" i="1"/>
  <c r="I19" i="1"/>
  <c r="H19" i="1"/>
</calcChain>
</file>

<file path=xl/sharedStrings.xml><?xml version="1.0" encoding="utf-8"?>
<sst xmlns="http://schemas.openxmlformats.org/spreadsheetml/2006/main" count="275" uniqueCount="130">
  <si>
    <t>987 Normalized</t>
  </si>
  <si>
    <t>Sample ID</t>
  </si>
  <si>
    <t>Sample Info</t>
  </si>
  <si>
    <t>Date</t>
  </si>
  <si>
    <t>Year and Time</t>
  </si>
  <si>
    <t xml:space="preserve"> 87Sr/86Sr_Corr   </t>
  </si>
  <si>
    <t>SE</t>
  </si>
  <si>
    <t>Norm Fact</t>
  </si>
  <si>
    <t>87/86</t>
  </si>
  <si>
    <t>2SE</t>
  </si>
  <si>
    <t xml:space="preserve">    84Kr/88Sr </t>
  </si>
  <si>
    <t xml:space="preserve">     85Rb/88Sr </t>
  </si>
  <si>
    <t xml:space="preserve">        Mass Bias Exp </t>
  </si>
  <si>
    <t xml:space="preserve">       88 Intens (V)</t>
  </si>
  <si>
    <t xml:space="preserve">        raw 83/88 </t>
  </si>
  <si>
    <t xml:space="preserve">        raw 84/88</t>
  </si>
  <si>
    <t xml:space="preserve"> raw 86/88</t>
  </si>
  <si>
    <t xml:space="preserve">     raw 87/88</t>
  </si>
  <si>
    <t xml:space="preserve">    raw 87/86 </t>
  </si>
  <si>
    <t xml:space="preserve">   Kr84 (V)    </t>
  </si>
  <si>
    <t xml:space="preserve">     Rb85 (V) </t>
  </si>
  <si>
    <t>MF-25-001</t>
  </si>
  <si>
    <t>'1B' run on Thursday</t>
  </si>
  <si>
    <t xml:space="preserve"> June 11</t>
  </si>
  <si>
    <t xml:space="preserve"> 2026 at 21:33</t>
  </si>
  <si>
    <t>MF-25-002</t>
  </si>
  <si>
    <t>'2B' run on Thursday</t>
  </si>
  <si>
    <t xml:space="preserve"> 2026 at 17:07</t>
  </si>
  <si>
    <t>MF-25-003</t>
  </si>
  <si>
    <t>'3B' run on Thursday</t>
  </si>
  <si>
    <t xml:space="preserve"> 2026 at 17:18</t>
  </si>
  <si>
    <t>MF-25-004</t>
  </si>
  <si>
    <t>'4B' run on Thursday</t>
  </si>
  <si>
    <t xml:space="preserve"> 2026 at 17:29</t>
  </si>
  <si>
    <t>MF-25-005</t>
  </si>
  <si>
    <t>'5B' run on Thursday</t>
  </si>
  <si>
    <t xml:space="preserve"> 2026 at 18:01</t>
  </si>
  <si>
    <t>MF-25-006</t>
  </si>
  <si>
    <t>'6B' run on Thursday</t>
  </si>
  <si>
    <t xml:space="preserve"> 2026 at 18:12</t>
  </si>
  <si>
    <t>MF-25-007</t>
  </si>
  <si>
    <t>'7B' run on Thursday</t>
  </si>
  <si>
    <t xml:space="preserve"> 2026 at 18:23</t>
  </si>
  <si>
    <t>MF-25-008</t>
  </si>
  <si>
    <t>'8B' run on Thursday</t>
  </si>
  <si>
    <t xml:space="preserve"> 2026 at 18:34</t>
  </si>
  <si>
    <t>MF-25-009</t>
  </si>
  <si>
    <t>'9B' run on Thursday</t>
  </si>
  <si>
    <t xml:space="preserve"> 2026 at 18:45</t>
  </si>
  <si>
    <t>MF-25-010</t>
  </si>
  <si>
    <t>'10B' run on Thursday</t>
  </si>
  <si>
    <t xml:space="preserve"> 2026 at 19:17</t>
  </si>
  <si>
    <t>MF-25-011</t>
  </si>
  <si>
    <t>'11B' run on Thursday</t>
  </si>
  <si>
    <t xml:space="preserve"> 2026 at 19:28</t>
  </si>
  <si>
    <t>MF-25-012</t>
  </si>
  <si>
    <t>'12B' run on Thursday</t>
  </si>
  <si>
    <t xml:space="preserve"> 2026 at 19:39</t>
  </si>
  <si>
    <t>MF-25-013</t>
  </si>
  <si>
    <t>'13B' run on Thursday</t>
  </si>
  <si>
    <t xml:space="preserve"> 2026 at 19:50</t>
  </si>
  <si>
    <t>MF-25-014</t>
  </si>
  <si>
    <t>'14B' run on Thursday</t>
  </si>
  <si>
    <t xml:space="preserve"> 2026 at 20:01</t>
  </si>
  <si>
    <t>MF-25-015</t>
  </si>
  <si>
    <t>'15B' run on Monday</t>
  </si>
  <si>
    <t xml:space="preserve"> June 15</t>
  </si>
  <si>
    <t xml:space="preserve"> 2026 at 13:27</t>
  </si>
  <si>
    <t>MF-25-016</t>
  </si>
  <si>
    <t>'16B' run on Monday</t>
  </si>
  <si>
    <t xml:space="preserve"> 2026 at 14:15</t>
  </si>
  <si>
    <t>MF-25-017</t>
  </si>
  <si>
    <t>'17B' run on Monday</t>
  </si>
  <si>
    <t xml:space="preserve"> 2026 at 14:26</t>
  </si>
  <si>
    <t>'17B A Dup' run on Monday</t>
  </si>
  <si>
    <t xml:space="preserve"> 2026 at 21:39</t>
  </si>
  <si>
    <t>MF-25-018</t>
  </si>
  <si>
    <t>'18B' run on Monday</t>
  </si>
  <si>
    <t xml:space="preserve"> 2026 at 14:59</t>
  </si>
  <si>
    <t>Reference Material</t>
  </si>
  <si>
    <t>NIST 987</t>
  </si>
  <si>
    <t>'NIST SRM 987' run on Thursday</t>
  </si>
  <si>
    <t xml:space="preserve"> 2026 at 12:45</t>
  </si>
  <si>
    <t xml:space="preserve"> 2026 at 14:01</t>
  </si>
  <si>
    <t xml:space="preserve"> 2026 at 15:52</t>
  </si>
  <si>
    <t xml:space="preserve"> 2026 at 16:24</t>
  </si>
  <si>
    <t xml:space="preserve"> 2026 at 18:56</t>
  </si>
  <si>
    <t xml:space="preserve"> 2026 at 20:12</t>
  </si>
  <si>
    <t xml:space="preserve"> 2026 at 21:01</t>
  </si>
  <si>
    <t>'NIST SRM 987' run on Monday</t>
  </si>
  <si>
    <t xml:space="preserve"> 2026 at 12:37</t>
  </si>
  <si>
    <t xml:space="preserve"> 2026 at 12:44</t>
  </si>
  <si>
    <t xml:space="preserve"> 2026 at 13:58</t>
  </si>
  <si>
    <t xml:space="preserve"> 2026 at 14:04</t>
  </si>
  <si>
    <t xml:space="preserve"> 2026 at 14:37</t>
  </si>
  <si>
    <t xml:space="preserve"> 2026 at 15:53</t>
  </si>
  <si>
    <t xml:space="preserve"> 2026 at 17:08</t>
  </si>
  <si>
    <t xml:space="preserve"> 2026 at 18:24</t>
  </si>
  <si>
    <t xml:space="preserve"> 2026 at 19:40</t>
  </si>
  <si>
    <t xml:space="preserve"> 2026 at 20:56</t>
  </si>
  <si>
    <t xml:space="preserve"> 2026 at 22:11</t>
  </si>
  <si>
    <t>Certified Isotopic Reference Material</t>
  </si>
  <si>
    <t>AVG</t>
  </si>
  <si>
    <t>Sr Carbonate NIST SRM 987</t>
  </si>
  <si>
    <t>2SD</t>
  </si>
  <si>
    <t xml:space="preserve">Literature Value  (GeoReM database, Jochum et al. 2005) </t>
  </si>
  <si>
    <t>‰ Diff</t>
  </si>
  <si>
    <t>SCSC iRM</t>
  </si>
  <si>
    <t>'SCSC iRM Proc' run on Thursday</t>
  </si>
  <si>
    <t xml:space="preserve"> 2026 at 12:56</t>
  </si>
  <si>
    <t xml:space="preserve"> 2026 at 16:35</t>
  </si>
  <si>
    <t xml:space="preserve"> 2026 at 19:07</t>
  </si>
  <si>
    <t>'SCSC B iRM' run on Thursday</t>
  </si>
  <si>
    <t xml:space="preserve"> 2026 at 21:11</t>
  </si>
  <si>
    <t>'SCSC B iRM' run on Monday</t>
  </si>
  <si>
    <t xml:space="preserve"> 2026 at 12:54</t>
  </si>
  <si>
    <t>'SCSC C iRM' run on Monday</t>
  </si>
  <si>
    <t xml:space="preserve"> 2026 at 14:48</t>
  </si>
  <si>
    <t xml:space="preserve"> 2026 at 17:19</t>
  </si>
  <si>
    <t xml:space="preserve"> 2026 at 18:35</t>
  </si>
  <si>
    <t xml:space="preserve"> 2026 at 21:06</t>
  </si>
  <si>
    <t xml:space="preserve"> 2026 at 21:17</t>
  </si>
  <si>
    <t>In House Isotopic Reference Material</t>
  </si>
  <si>
    <t>Literature Ocean Value</t>
  </si>
  <si>
    <t>Literature Value (McArthur et al. 2001; Mokadem et al. 2015)</t>
  </si>
  <si>
    <t>USGS EN-1</t>
  </si>
  <si>
    <t>'EN-1-NP iRM Proc' run on Thursday</t>
  </si>
  <si>
    <t xml:space="preserve"> 2026 at 14:12</t>
  </si>
  <si>
    <t xml:space="preserve"> 2026 at 17:51</t>
  </si>
  <si>
    <t>Unpublished Isotopic Reference Material from USGS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</si>
</sst>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1" fontId="1" fillId="2" borderId="0" xfId="0" applyNumberFormat="1" applyFont="1" applyFill="1" applyAlignment="1">
      <alignment horizontal="center"/>
    </xf>
    <xf numFmtId="0" fontId="1" fillId="3" borderId="0" xfId="0" applyFont="1" applyFill="1"/>
    <xf numFmtId="0" fontId="3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164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left"/>
    </xf>
    <xf numFmtId="165" fontId="1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5DEC-EF29-2742-9308-1830B9475FDC}">
  <dimension ref="A2:AE22"/>
  <sheetViews>
    <sheetView tabSelected="1" workbookViewId="0">
      <selection activeCell="F11" sqref="F11"/>
    </sheetView>
  </sheetViews>
  <sheetFormatPr defaultColWidth="11" defaultRowHeight="15.75" x14ac:dyDescent="0.25"/>
  <cols>
    <col min="1" max="1" width="9.375" bestFit="1" customWidth="1"/>
    <col min="2" max="2" width="21.5" bestFit="1" customWidth="1"/>
    <col min="4" max="4" width="12.375" bestFit="1" customWidth="1"/>
    <col min="5" max="5" width="14.625" bestFit="1" customWidth="1"/>
    <col min="8" max="8" width="13.5" bestFit="1" customWidth="1"/>
    <col min="14" max="14" width="13.125" customWidth="1"/>
    <col min="16" max="16" width="13.125" bestFit="1" customWidth="1"/>
  </cols>
  <sheetData>
    <row r="2" spans="1:31" s="1" customFormat="1" x14ac:dyDescent="0.25">
      <c r="E2" s="2"/>
      <c r="G2"/>
      <c r="H2" s="3" t="s">
        <v>0</v>
      </c>
      <c r="I2" s="4"/>
    </row>
    <row r="3" spans="1:31" s="5" customFormat="1" ht="15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5" t="s">
        <v>7</v>
      </c>
      <c r="H3" s="7" t="s">
        <v>8</v>
      </c>
      <c r="I3" s="7" t="s">
        <v>9</v>
      </c>
      <c r="J3" s="5" t="s">
        <v>10</v>
      </c>
      <c r="K3" s="5" t="s">
        <v>6</v>
      </c>
      <c r="L3" s="5" t="s">
        <v>11</v>
      </c>
      <c r="M3" s="5" t="s">
        <v>6</v>
      </c>
      <c r="N3" s="5" t="s">
        <v>12</v>
      </c>
      <c r="O3" s="5" t="s">
        <v>6</v>
      </c>
      <c r="P3" s="5" t="s">
        <v>13</v>
      </c>
      <c r="Q3" s="5" t="s">
        <v>6</v>
      </c>
      <c r="R3" s="5" t="s">
        <v>14</v>
      </c>
      <c r="S3" s="5" t="s">
        <v>6</v>
      </c>
      <c r="T3" s="5" t="s">
        <v>15</v>
      </c>
      <c r="U3" s="5" t="s">
        <v>6</v>
      </c>
      <c r="V3" s="5" t="s">
        <v>16</v>
      </c>
      <c r="W3" s="5" t="s">
        <v>6</v>
      </c>
      <c r="X3" s="5" t="s">
        <v>17</v>
      </c>
      <c r="Y3" s="5" t="s">
        <v>6</v>
      </c>
      <c r="Z3" s="5" t="s">
        <v>18</v>
      </c>
      <c r="AA3" s="5" t="s">
        <v>6</v>
      </c>
      <c r="AB3" s="5" t="s">
        <v>19</v>
      </c>
      <c r="AC3" s="5" t="s">
        <v>6</v>
      </c>
      <c r="AD3" s="5" t="s">
        <v>20</v>
      </c>
      <c r="AE3" s="5" t="s">
        <v>6</v>
      </c>
    </row>
    <row r="4" spans="1:31" s="1" customFormat="1" x14ac:dyDescent="0.25">
      <c r="A4" s="8" t="s">
        <v>21</v>
      </c>
      <c r="B4" s="1" t="s">
        <v>22</v>
      </c>
      <c r="C4" s="1" t="s">
        <v>23</v>
      </c>
      <c r="D4" s="1" t="s">
        <v>24</v>
      </c>
      <c r="E4" s="2">
        <v>0.70851629999999999</v>
      </c>
      <c r="F4" s="2">
        <v>6.02E-6</v>
      </c>
      <c r="G4" s="2">
        <v>7.5500000000000006E-5</v>
      </c>
      <c r="H4" s="9">
        <v>0.70859179999999999</v>
      </c>
      <c r="I4" s="10">
        <v>1.204E-5</v>
      </c>
      <c r="J4" s="2">
        <v>9.1582960000000004E-4</v>
      </c>
      <c r="K4" s="2">
        <v>2.9399999999999998E-6</v>
      </c>
      <c r="L4" s="2">
        <v>1.266083E-4</v>
      </c>
      <c r="M4" s="2">
        <v>1.9000000000000001E-7</v>
      </c>
      <c r="N4" s="2">
        <v>1.452213</v>
      </c>
      <c r="O4" s="2">
        <v>6.0700000000000001E-4</v>
      </c>
      <c r="P4" s="2">
        <v>11.4817</v>
      </c>
      <c r="Q4" s="2">
        <v>2.5899999999999999E-2</v>
      </c>
      <c r="R4" s="2">
        <v>2.0380870000000001E-4</v>
      </c>
      <c r="S4" s="2">
        <v>6.7599999999999997E-7</v>
      </c>
      <c r="T4" s="2">
        <v>7.2259359999999996E-3</v>
      </c>
      <c r="U4" s="2">
        <v>3.2200000000000001E-6</v>
      </c>
      <c r="V4" s="2">
        <v>0.11577</v>
      </c>
      <c r="W4" s="2">
        <v>2.4399999999999999E-6</v>
      </c>
      <c r="X4" s="2">
        <v>8.3208160000000003E-2</v>
      </c>
      <c r="Y4" s="2">
        <v>7.7499999999999999E-7</v>
      </c>
      <c r="Z4" s="2">
        <v>0.71916679999999999</v>
      </c>
      <c r="AA4" s="2">
        <v>1.17E-5</v>
      </c>
      <c r="AB4" s="2">
        <v>1.052034E-2</v>
      </c>
      <c r="AC4" s="2">
        <v>1.2999999999999999E-5</v>
      </c>
      <c r="AD4" s="2">
        <v>1.4519769999999999E-3</v>
      </c>
      <c r="AE4" s="2">
        <v>3.3400000000000002E-6</v>
      </c>
    </row>
    <row r="5" spans="1:31" s="1" customFormat="1" x14ac:dyDescent="0.25">
      <c r="A5" s="8" t="s">
        <v>25</v>
      </c>
      <c r="B5" s="1" t="s">
        <v>26</v>
      </c>
      <c r="C5" s="1" t="s">
        <v>23</v>
      </c>
      <c r="D5" s="1" t="s">
        <v>27</v>
      </c>
      <c r="E5" s="2">
        <v>0.7085496</v>
      </c>
      <c r="F5" s="2">
        <v>7.6199999999999999E-6</v>
      </c>
      <c r="G5" s="2">
        <v>1.6912507168397723E-5</v>
      </c>
      <c r="H5" s="9">
        <v>0.7085665125071684</v>
      </c>
      <c r="I5" s="10">
        <v>1.524E-5</v>
      </c>
      <c r="J5" s="2">
        <v>1.0625599999999999E-3</v>
      </c>
      <c r="K5" s="2">
        <v>4.9899999999999997E-6</v>
      </c>
      <c r="L5" s="2">
        <v>6.8032420000000004E-5</v>
      </c>
      <c r="M5" s="2">
        <v>3.7899999999999999E-7</v>
      </c>
      <c r="N5" s="2">
        <v>1.507595</v>
      </c>
      <c r="O5" s="2">
        <v>6.2200000000000005E-4</v>
      </c>
      <c r="P5" s="2">
        <v>13.01634</v>
      </c>
      <c r="Q5" s="2">
        <v>5.4899999999999997E-2</v>
      </c>
      <c r="R5" s="2">
        <v>2.258637E-4</v>
      </c>
      <c r="S5" s="2">
        <v>1.1000000000000001E-6</v>
      </c>
      <c r="T5" s="2">
        <v>7.3551390000000001E-3</v>
      </c>
      <c r="U5" s="2">
        <v>5.1200000000000001E-6</v>
      </c>
      <c r="V5" s="2">
        <v>0.1156696</v>
      </c>
      <c r="W5" s="2">
        <v>2.9500000000000001E-6</v>
      </c>
      <c r="X5" s="2">
        <v>8.3158609999999994E-2</v>
      </c>
      <c r="Y5" s="2">
        <v>1.08E-6</v>
      </c>
      <c r="Z5" s="2">
        <v>0.71915810000000002</v>
      </c>
      <c r="AA5" s="2">
        <v>1.5699999999999999E-5</v>
      </c>
      <c r="AB5" s="2">
        <v>1.3849780000000001E-2</v>
      </c>
      <c r="AC5" s="2">
        <v>1.5400000000000002E-5</v>
      </c>
      <c r="AD5" s="2">
        <v>8.8594309999999996E-4</v>
      </c>
      <c r="AE5" s="2">
        <v>2.88E-6</v>
      </c>
    </row>
    <row r="6" spans="1:31" s="1" customFormat="1" x14ac:dyDescent="0.25">
      <c r="A6" s="8" t="s">
        <v>28</v>
      </c>
      <c r="B6" s="1" t="s">
        <v>29</v>
      </c>
      <c r="C6" s="1" t="s">
        <v>23</v>
      </c>
      <c r="D6" s="1" t="s">
        <v>30</v>
      </c>
      <c r="E6" s="2">
        <v>0.70857130000000002</v>
      </c>
      <c r="F6" s="2">
        <v>7.0899999999999999E-6</v>
      </c>
      <c r="G6" s="2">
        <v>1.8259790800530042E-5</v>
      </c>
      <c r="H6" s="9">
        <v>0.70858955979080052</v>
      </c>
      <c r="I6" s="10">
        <v>1.418E-5</v>
      </c>
      <c r="J6" s="2">
        <v>8.9220100000000002E-4</v>
      </c>
      <c r="K6" s="2">
        <v>2.57E-6</v>
      </c>
      <c r="L6" s="2">
        <v>5.7992360000000001E-5</v>
      </c>
      <c r="M6" s="2">
        <v>2.3699999999999999E-7</v>
      </c>
      <c r="N6" s="2">
        <v>1.5163219999999999</v>
      </c>
      <c r="O6" s="2">
        <v>6.5700000000000003E-4</v>
      </c>
      <c r="P6" s="2">
        <v>13.746930000000001</v>
      </c>
      <c r="Q6" s="2">
        <v>3.7699999999999997E-2</v>
      </c>
      <c r="R6" s="2">
        <v>1.8783809999999999E-4</v>
      </c>
      <c r="S6" s="2">
        <v>6.5400000000000001E-7</v>
      </c>
      <c r="T6" s="2">
        <v>7.1825810000000004E-3</v>
      </c>
      <c r="U6" s="2">
        <v>2.7099999999999999E-6</v>
      </c>
      <c r="V6" s="2">
        <v>0.1155953</v>
      </c>
      <c r="W6" s="2">
        <v>2.43E-6</v>
      </c>
      <c r="X6" s="2">
        <v>8.3153920000000006E-2</v>
      </c>
      <c r="Y6" s="2">
        <v>9.3200000000000003E-7</v>
      </c>
      <c r="Z6" s="2">
        <v>0.71953920000000005</v>
      </c>
      <c r="AA6" s="2">
        <v>1.38E-5</v>
      </c>
      <c r="AB6" s="2">
        <v>1.219864E-2</v>
      </c>
      <c r="AC6" s="2">
        <v>1.77E-5</v>
      </c>
      <c r="AD6" s="2">
        <v>7.934951E-4</v>
      </c>
      <c r="AE6" s="2">
        <v>2.34E-6</v>
      </c>
    </row>
    <row r="7" spans="1:31" s="1" customFormat="1" x14ac:dyDescent="0.25">
      <c r="A7" s="8" t="s">
        <v>31</v>
      </c>
      <c r="B7" s="1" t="s">
        <v>32</v>
      </c>
      <c r="C7" s="1" t="s">
        <v>23</v>
      </c>
      <c r="D7" s="1" t="s">
        <v>33</v>
      </c>
      <c r="E7" s="2">
        <v>0.70899400000000001</v>
      </c>
      <c r="F7" s="2">
        <v>4.7899999999999999E-6</v>
      </c>
      <c r="G7" s="2">
        <v>1.9464977077380063E-5</v>
      </c>
      <c r="H7" s="9">
        <v>0.7090134649770774</v>
      </c>
      <c r="I7" s="10">
        <v>9.5799999999999998E-6</v>
      </c>
      <c r="J7" s="2">
        <v>1.027263E-3</v>
      </c>
      <c r="K7" s="2">
        <v>6.64E-6</v>
      </c>
      <c r="L7" s="2">
        <v>1.2121300000000001E-4</v>
      </c>
      <c r="M7" s="2">
        <v>2.16E-7</v>
      </c>
      <c r="N7" s="2">
        <v>1.526125</v>
      </c>
      <c r="O7" s="2">
        <v>5.5400000000000002E-4</v>
      </c>
      <c r="P7" s="2">
        <v>13.261329999999999</v>
      </c>
      <c r="Q7" s="2">
        <v>5.74E-2</v>
      </c>
      <c r="R7" s="2">
        <v>2.15684E-4</v>
      </c>
      <c r="S7" s="2">
        <v>1.46E-6</v>
      </c>
      <c r="T7" s="2">
        <v>7.3146180000000002E-3</v>
      </c>
      <c r="U7" s="2">
        <v>6.7900000000000002E-6</v>
      </c>
      <c r="V7" s="2">
        <v>0.1156104</v>
      </c>
      <c r="W7" s="2">
        <v>3.5200000000000002E-6</v>
      </c>
      <c r="X7" s="2">
        <v>8.3193989999999995E-2</v>
      </c>
      <c r="Y7" s="2">
        <v>8.4300000000000002E-7</v>
      </c>
      <c r="Z7" s="2">
        <v>0.72002279999999996</v>
      </c>
      <c r="AA7" s="2">
        <v>1.7E-5</v>
      </c>
      <c r="AB7" s="2">
        <v>1.3579290000000001E-2</v>
      </c>
      <c r="AC7" s="2">
        <v>3.1000000000000001E-5</v>
      </c>
      <c r="AD7" s="2">
        <v>1.6112889999999999E-3</v>
      </c>
      <c r="AE7" s="2">
        <v>5.3000000000000001E-6</v>
      </c>
    </row>
    <row r="8" spans="1:31" s="1" customFormat="1" x14ac:dyDescent="0.25">
      <c r="A8" s="8" t="s">
        <v>34</v>
      </c>
      <c r="B8" s="1" t="s">
        <v>35</v>
      </c>
      <c r="C8" s="1" t="s">
        <v>23</v>
      </c>
      <c r="D8" s="1" t="s">
        <v>36</v>
      </c>
      <c r="E8" s="2">
        <v>0.70900039999999998</v>
      </c>
      <c r="F8" s="2">
        <v>6.2099999999999998E-6</v>
      </c>
      <c r="G8" s="2">
        <v>2.2466080565701708E-5</v>
      </c>
      <c r="H8" s="9">
        <v>0.70902286608056564</v>
      </c>
      <c r="I8" s="10">
        <v>1.242E-5</v>
      </c>
      <c r="J8" s="2">
        <v>1.120107E-3</v>
      </c>
      <c r="K8" s="2">
        <v>1.7799999999999999E-6</v>
      </c>
      <c r="L8" s="2">
        <v>7.8621829999999995E-5</v>
      </c>
      <c r="M8" s="2">
        <v>1.5200000000000001E-7</v>
      </c>
      <c r="N8" s="2">
        <v>1.5207870000000001</v>
      </c>
      <c r="O8" s="2">
        <v>4.2700000000000002E-4</v>
      </c>
      <c r="P8" s="2">
        <v>12.72165</v>
      </c>
      <c r="Q8" s="2">
        <v>1.5100000000000001E-2</v>
      </c>
      <c r="R8" s="2">
        <v>2.352183E-4</v>
      </c>
      <c r="S8" s="2">
        <v>4.0600000000000001E-7</v>
      </c>
      <c r="T8" s="2">
        <v>7.4091039999999997E-3</v>
      </c>
      <c r="U8" s="2">
        <v>1.8300000000000001E-6</v>
      </c>
      <c r="V8" s="2">
        <v>0.1156536</v>
      </c>
      <c r="W8" s="2">
        <v>1.3200000000000001E-6</v>
      </c>
      <c r="X8" s="2">
        <v>8.3199949999999995E-2</v>
      </c>
      <c r="Y8" s="2">
        <v>9.5300000000000002E-7</v>
      </c>
      <c r="Z8" s="2">
        <v>0.71964760000000005</v>
      </c>
      <c r="AA8" s="2">
        <v>8.9099999999999994E-6</v>
      </c>
      <c r="AB8" s="2">
        <v>1.424983E-2</v>
      </c>
      <c r="AC8" s="2">
        <v>2.1800000000000001E-5</v>
      </c>
      <c r="AD8" s="2">
        <v>1.0006119999999999E-3</v>
      </c>
      <c r="AE8" s="2">
        <v>1.79E-6</v>
      </c>
    </row>
    <row r="9" spans="1:31" s="1" customFormat="1" x14ac:dyDescent="0.25">
      <c r="A9" s="8" t="s">
        <v>37</v>
      </c>
      <c r="B9" s="1" t="s">
        <v>38</v>
      </c>
      <c r="C9" s="1" t="s">
        <v>23</v>
      </c>
      <c r="D9" s="1" t="s">
        <v>39</v>
      </c>
      <c r="E9" s="2">
        <v>0.7089567</v>
      </c>
      <c r="F9" s="2">
        <v>6.9800000000000001E-6</v>
      </c>
      <c r="G9" s="2">
        <v>2.3313778685696762E-5</v>
      </c>
      <c r="H9" s="9">
        <v>0.70898001377868569</v>
      </c>
      <c r="I9" s="10">
        <v>1.396E-5</v>
      </c>
      <c r="J9" s="2">
        <v>1.04951E-3</v>
      </c>
      <c r="K9" s="2">
        <v>5.4E-6</v>
      </c>
      <c r="L9" s="2">
        <v>1.712823E-4</v>
      </c>
      <c r="M9" s="2">
        <v>3.0699999999999998E-7</v>
      </c>
      <c r="N9" s="2">
        <v>1.516969</v>
      </c>
      <c r="O9" s="2">
        <v>9.7000000000000005E-4</v>
      </c>
      <c r="P9" s="2">
        <v>12.535119999999999</v>
      </c>
      <c r="Q9" s="2">
        <v>4.5699999999999998E-2</v>
      </c>
      <c r="R9" s="2">
        <v>2.1988220000000001E-4</v>
      </c>
      <c r="S9" s="2">
        <v>1.2500000000000001E-6</v>
      </c>
      <c r="T9" s="2">
        <v>7.3394740000000003E-3</v>
      </c>
      <c r="U9" s="2">
        <v>5.6099999999999997E-6</v>
      </c>
      <c r="V9" s="2">
        <v>0.1156409</v>
      </c>
      <c r="W9" s="2">
        <v>3.9600000000000002E-6</v>
      </c>
      <c r="X9" s="2">
        <v>8.3198560000000005E-2</v>
      </c>
      <c r="Y9" s="2">
        <v>1.13E-6</v>
      </c>
      <c r="Z9" s="2">
        <v>0.72004570000000001</v>
      </c>
      <c r="AA9" s="2">
        <v>1.77E-5</v>
      </c>
      <c r="AB9" s="2">
        <v>1.313404E-2</v>
      </c>
      <c r="AC9" s="2">
        <v>2.5899999999999999E-5</v>
      </c>
      <c r="AD9" s="2">
        <v>2.1460540000000001E-3</v>
      </c>
      <c r="AE9" s="2">
        <v>5.8599999999999998E-6</v>
      </c>
    </row>
    <row r="10" spans="1:31" s="1" customFormat="1" x14ac:dyDescent="0.25">
      <c r="A10" s="8" t="s">
        <v>40</v>
      </c>
      <c r="B10" s="1" t="s">
        <v>41</v>
      </c>
      <c r="C10" s="1" t="s">
        <v>23</v>
      </c>
      <c r="D10" s="1" t="s">
        <v>42</v>
      </c>
      <c r="E10" s="2">
        <v>0.70892169999999999</v>
      </c>
      <c r="F10" s="2">
        <v>6.55E-6</v>
      </c>
      <c r="G10" s="2">
        <v>2.4102966754845842E-5</v>
      </c>
      <c r="H10" s="9">
        <v>0.7089458029667548</v>
      </c>
      <c r="I10" s="10">
        <v>1.31E-5</v>
      </c>
      <c r="J10" s="2">
        <v>1.1139629999999999E-3</v>
      </c>
      <c r="K10" s="2">
        <v>6.7900000000000002E-6</v>
      </c>
      <c r="L10" s="2">
        <v>2.2504940000000001E-4</v>
      </c>
      <c r="M10" s="2">
        <v>3.58E-7</v>
      </c>
      <c r="N10" s="2">
        <v>1.5184310000000001</v>
      </c>
      <c r="O10" s="2">
        <v>6.6699999999999995E-4</v>
      </c>
      <c r="P10" s="2">
        <v>13.09605</v>
      </c>
      <c r="Q10" s="2">
        <v>5.4399999999999997E-2</v>
      </c>
      <c r="R10" s="2">
        <v>2.3297420000000001E-4</v>
      </c>
      <c r="S10" s="2">
        <v>1.48E-6</v>
      </c>
      <c r="T10" s="2">
        <v>7.4055730000000004E-3</v>
      </c>
      <c r="U10" s="2">
        <v>7.08E-6</v>
      </c>
      <c r="V10" s="2">
        <v>0.11565739999999999</v>
      </c>
      <c r="W10" s="2">
        <v>3.4999999999999999E-6</v>
      </c>
      <c r="X10" s="2">
        <v>8.3192730000000006E-2</v>
      </c>
      <c r="Y10" s="2">
        <v>9.4200000000000004E-7</v>
      </c>
      <c r="Z10" s="2">
        <v>0.72006429999999999</v>
      </c>
      <c r="AA10" s="2">
        <v>1.8499999999999999E-5</v>
      </c>
      <c r="AB10" s="2">
        <v>1.451067E-2</v>
      </c>
      <c r="AC10" s="2">
        <v>2.8099999999999999E-5</v>
      </c>
      <c r="AD10" s="2">
        <v>2.9477779999999999E-3</v>
      </c>
      <c r="AE10" s="2">
        <v>9.2599999999999994E-6</v>
      </c>
    </row>
    <row r="11" spans="1:31" s="1" customFormat="1" x14ac:dyDescent="0.25">
      <c r="A11" s="8" t="s">
        <v>43</v>
      </c>
      <c r="B11" s="1" t="s">
        <v>44</v>
      </c>
      <c r="C11" s="1" t="s">
        <v>23</v>
      </c>
      <c r="D11" s="1" t="s">
        <v>45</v>
      </c>
      <c r="E11" s="2">
        <v>0.70884320000000001</v>
      </c>
      <c r="F11" s="2">
        <v>7.4499999999999998E-6</v>
      </c>
      <c r="G11" s="2">
        <v>2.4841202891196961E-5</v>
      </c>
      <c r="H11" s="9">
        <v>0.70886804120289115</v>
      </c>
      <c r="I11" s="10">
        <v>1.49E-5</v>
      </c>
      <c r="J11" s="2">
        <v>1.2275140000000001E-3</v>
      </c>
      <c r="K11" s="2">
        <v>2.0499999999999999E-6</v>
      </c>
      <c r="L11" s="2">
        <v>1.48858E-3</v>
      </c>
      <c r="M11" s="2">
        <v>2.7099999999999998E-7</v>
      </c>
      <c r="N11" s="2">
        <v>1.506507</v>
      </c>
      <c r="O11" s="2">
        <v>8.5400000000000005E-4</v>
      </c>
      <c r="P11" s="2">
        <v>12.5914</v>
      </c>
      <c r="Q11" s="2">
        <v>5.11E-2</v>
      </c>
      <c r="R11" s="2">
        <v>2.4719469999999997E-4</v>
      </c>
      <c r="S11" s="2">
        <v>5.1600000000000001E-7</v>
      </c>
      <c r="T11" s="2">
        <v>7.5193580000000003E-3</v>
      </c>
      <c r="U11" s="2">
        <v>2.0200000000000001E-6</v>
      </c>
      <c r="V11" s="2">
        <v>0.1157242</v>
      </c>
      <c r="W11" s="2">
        <v>2.1900000000000002E-6</v>
      </c>
      <c r="X11" s="2">
        <v>8.3194619999999997E-2</v>
      </c>
      <c r="Y11" s="2">
        <v>1.04E-6</v>
      </c>
      <c r="Z11" s="2">
        <v>0.72404210000000002</v>
      </c>
      <c r="AA11" s="2">
        <v>1.2500000000000001E-5</v>
      </c>
      <c r="AB11" s="2">
        <v>1.544884E-2</v>
      </c>
      <c r="AC11" s="2">
        <v>7.08E-5</v>
      </c>
      <c r="AD11" s="2">
        <v>1.8741000000000001E-2</v>
      </c>
      <c r="AE11" s="2">
        <v>7.7399999999999998E-5</v>
      </c>
    </row>
    <row r="12" spans="1:31" s="1" customFormat="1" x14ac:dyDescent="0.25">
      <c r="A12" s="8" t="s">
        <v>46</v>
      </c>
      <c r="B12" s="1" t="s">
        <v>47</v>
      </c>
      <c r="C12" s="1" t="s">
        <v>23</v>
      </c>
      <c r="D12" s="1" t="s">
        <v>48</v>
      </c>
      <c r="E12" s="2">
        <v>0.70910580000000001</v>
      </c>
      <c r="F12" s="2">
        <v>7.4200000000000001E-6</v>
      </c>
      <c r="G12" s="2">
        <v>2.5534669146522402E-5</v>
      </c>
      <c r="H12" s="9">
        <v>0.70913133466914657</v>
      </c>
      <c r="I12" s="10">
        <v>1.484E-5</v>
      </c>
      <c r="J12" s="2">
        <v>1.0026760000000001E-3</v>
      </c>
      <c r="K12" s="2">
        <v>5.5199999999999997E-6</v>
      </c>
      <c r="L12" s="2">
        <v>1.2693820000000001E-4</v>
      </c>
      <c r="M12" s="2">
        <v>2.8700000000000002E-7</v>
      </c>
      <c r="N12" s="2">
        <v>1.511271</v>
      </c>
      <c r="O12" s="2">
        <v>6.5799999999999995E-4</v>
      </c>
      <c r="P12" s="2">
        <v>13.55344</v>
      </c>
      <c r="Q12" s="2">
        <v>6.1400000000000003E-2</v>
      </c>
      <c r="R12" s="2">
        <v>2.099464E-4</v>
      </c>
      <c r="S12" s="2">
        <v>1.1999999999999999E-6</v>
      </c>
      <c r="T12" s="2">
        <v>7.2943950000000004E-3</v>
      </c>
      <c r="U12" s="2">
        <v>5.6999999999999996E-6</v>
      </c>
      <c r="V12" s="2">
        <v>0.1156397</v>
      </c>
      <c r="W12" s="2">
        <v>3.2600000000000001E-6</v>
      </c>
      <c r="X12" s="2">
        <v>8.3221310000000007E-2</v>
      </c>
      <c r="Y12" s="2">
        <v>9.8100000000000001E-7</v>
      </c>
      <c r="Z12" s="2">
        <v>0.72007869999999996</v>
      </c>
      <c r="AA12" s="2">
        <v>1.6900000000000001E-5</v>
      </c>
      <c r="AB12" s="2">
        <v>1.357419E-2</v>
      </c>
      <c r="AC12" s="2">
        <v>2.8200000000000001E-5</v>
      </c>
      <c r="AD12" s="2">
        <v>1.7214839999999999E-3</v>
      </c>
      <c r="AE12" s="2">
        <v>5.4099999999999999E-6</v>
      </c>
    </row>
    <row r="13" spans="1:31" s="1" customFormat="1" x14ac:dyDescent="0.25">
      <c r="A13" s="8" t="s">
        <v>49</v>
      </c>
      <c r="B13" s="1" t="s">
        <v>50</v>
      </c>
      <c r="C13" s="1" t="s">
        <v>23</v>
      </c>
      <c r="D13" s="1" t="s">
        <v>51</v>
      </c>
      <c r="E13" s="2">
        <v>0.70881649999999996</v>
      </c>
      <c r="F13" s="2">
        <v>6.4300000000000003E-6</v>
      </c>
      <c r="G13" s="2">
        <v>2.7393672800179298E-5</v>
      </c>
      <c r="H13" s="9">
        <v>0.7088438936728001</v>
      </c>
      <c r="I13" s="10">
        <v>1.2860000000000001E-5</v>
      </c>
      <c r="J13" s="2">
        <v>9.1919370000000003E-4</v>
      </c>
      <c r="K13" s="2">
        <v>3.6399999999999999E-6</v>
      </c>
      <c r="L13" s="2">
        <v>6.1864020000000004E-5</v>
      </c>
      <c r="M13" s="2">
        <v>1.6500000000000001E-7</v>
      </c>
      <c r="N13" s="2">
        <v>1.5027729999999999</v>
      </c>
      <c r="O13" s="2">
        <v>5.7600000000000001E-4</v>
      </c>
      <c r="P13" s="2">
        <v>14.09229</v>
      </c>
      <c r="Q13" s="2">
        <v>4.6300000000000001E-2</v>
      </c>
      <c r="R13" s="2">
        <v>1.934808E-4</v>
      </c>
      <c r="S13" s="2">
        <v>8.2600000000000001E-7</v>
      </c>
      <c r="T13" s="2">
        <v>7.213382E-3</v>
      </c>
      <c r="U13" s="2">
        <v>3.7900000000000001E-6</v>
      </c>
      <c r="V13" s="2">
        <v>0.1156373</v>
      </c>
      <c r="W13" s="2">
        <v>2.5299999999999999E-6</v>
      </c>
      <c r="X13" s="2">
        <v>8.3194850000000001E-2</v>
      </c>
      <c r="Y13" s="2">
        <v>7.6700000000000003E-7</v>
      </c>
      <c r="Z13" s="2">
        <v>0.71964879999999998</v>
      </c>
      <c r="AA13" s="2">
        <v>1.5299999999999999E-5</v>
      </c>
      <c r="AB13" s="2">
        <v>1.2941080000000001E-2</v>
      </c>
      <c r="AC13" s="2">
        <v>1.3699999999999999E-5</v>
      </c>
      <c r="AD13" s="2">
        <v>8.7224690000000001E-4</v>
      </c>
      <c r="AE13" s="2">
        <v>3.2499999999999998E-6</v>
      </c>
    </row>
    <row r="14" spans="1:31" s="1" customFormat="1" x14ac:dyDescent="0.25">
      <c r="A14" s="8" t="s">
        <v>52</v>
      </c>
      <c r="B14" s="1" t="s">
        <v>53</v>
      </c>
      <c r="C14" s="1" t="s">
        <v>23</v>
      </c>
      <c r="D14" s="1" t="s">
        <v>54</v>
      </c>
      <c r="E14" s="2">
        <v>0.71282080000000003</v>
      </c>
      <c r="F14" s="2">
        <v>6.2700000000000001E-6</v>
      </c>
      <c r="G14" s="2">
        <v>2.7951768363162542E-5</v>
      </c>
      <c r="H14" s="9">
        <v>0.71284875176836315</v>
      </c>
      <c r="I14" s="10">
        <v>1.254E-5</v>
      </c>
      <c r="J14" s="2">
        <v>8.9608760000000004E-4</v>
      </c>
      <c r="K14" s="2">
        <v>2.9900000000000002E-6</v>
      </c>
      <c r="L14" s="2">
        <v>5.6010939999999999E-5</v>
      </c>
      <c r="M14" s="2">
        <v>2.0699999999999999E-7</v>
      </c>
      <c r="N14" s="2">
        <v>1.511984</v>
      </c>
      <c r="O14" s="2">
        <v>6.1200000000000002E-4</v>
      </c>
      <c r="P14" s="2">
        <v>15.104340000000001</v>
      </c>
      <c r="Q14" s="2">
        <v>1.09E-2</v>
      </c>
      <c r="R14" s="2">
        <v>1.8754770000000001E-4</v>
      </c>
      <c r="S14" s="2">
        <v>6.4099999999999998E-7</v>
      </c>
      <c r="T14" s="2">
        <v>7.1877499999999997E-3</v>
      </c>
      <c r="U14" s="2">
        <v>2.9799999999999998E-6</v>
      </c>
      <c r="V14" s="2">
        <v>0.115604</v>
      </c>
      <c r="W14" s="2">
        <v>1.4899999999999999E-6</v>
      </c>
      <c r="X14" s="2">
        <v>8.3656060000000004E-2</v>
      </c>
      <c r="Y14" s="2">
        <v>8.0800000000000004E-7</v>
      </c>
      <c r="Z14" s="2">
        <v>0.72382100000000005</v>
      </c>
      <c r="AA14" s="2">
        <v>1.15E-5</v>
      </c>
      <c r="AB14" s="2">
        <v>1.338568E-2</v>
      </c>
      <c r="AC14" s="2">
        <v>5.2200000000000002E-5</v>
      </c>
      <c r="AD14" s="2">
        <v>8.3839039999999997E-4</v>
      </c>
      <c r="AE14" s="2">
        <v>2.3499999999999999E-6</v>
      </c>
    </row>
    <row r="15" spans="1:31" s="1" customFormat="1" x14ac:dyDescent="0.25">
      <c r="A15" s="8" t="s">
        <v>55</v>
      </c>
      <c r="B15" s="1" t="s">
        <v>56</v>
      </c>
      <c r="C15" s="1" t="s">
        <v>23</v>
      </c>
      <c r="D15" s="1" t="s">
        <v>57</v>
      </c>
      <c r="E15" s="2">
        <v>0.70847400000000005</v>
      </c>
      <c r="F15" s="2">
        <v>6.9999999999999999E-6</v>
      </c>
      <c r="G15" s="2">
        <v>2.8483896400805239E-5</v>
      </c>
      <c r="H15" s="9">
        <v>0.7085024838964008</v>
      </c>
      <c r="I15" s="10">
        <v>1.4E-5</v>
      </c>
      <c r="J15" s="2">
        <v>9.3664460000000003E-4</v>
      </c>
      <c r="K15" s="2">
        <v>3.9899999999999999E-6</v>
      </c>
      <c r="L15" s="2">
        <v>1.099903E-4</v>
      </c>
      <c r="M15" s="2">
        <v>2.2600000000000001E-7</v>
      </c>
      <c r="N15" s="2">
        <v>1.507951</v>
      </c>
      <c r="O15" s="2">
        <v>5.5500000000000005E-4</v>
      </c>
      <c r="P15" s="2">
        <v>12.873239999999999</v>
      </c>
      <c r="Q15" s="2">
        <v>3.7100000000000001E-2</v>
      </c>
      <c r="R15" s="2">
        <v>1.9893299999999999E-4</v>
      </c>
      <c r="S15" s="2">
        <v>8.8700000000000004E-7</v>
      </c>
      <c r="T15" s="2">
        <v>7.2280590000000002E-3</v>
      </c>
      <c r="U15" s="2">
        <v>3.9700000000000001E-6</v>
      </c>
      <c r="V15" s="2">
        <v>0.11562989999999999</v>
      </c>
      <c r="W15" s="2">
        <v>2.48E-6</v>
      </c>
      <c r="X15" s="2">
        <v>8.3150619999999995E-2</v>
      </c>
      <c r="Y15" s="2">
        <v>1.0300000000000001E-6</v>
      </c>
      <c r="Z15" s="2">
        <v>0.71947839999999996</v>
      </c>
      <c r="AA15" s="2">
        <v>1.2999999999999999E-5</v>
      </c>
      <c r="AB15" s="2">
        <v>1.2023880000000001E-2</v>
      </c>
      <c r="AC15" s="2">
        <v>2.7800000000000001E-5</v>
      </c>
      <c r="AD15" s="2">
        <v>1.4106360000000001E-3</v>
      </c>
      <c r="AE15" s="2">
        <v>3.41E-6</v>
      </c>
    </row>
    <row r="16" spans="1:31" s="1" customFormat="1" x14ac:dyDescent="0.25">
      <c r="A16" s="8" t="s">
        <v>58</v>
      </c>
      <c r="B16" s="1" t="s">
        <v>59</v>
      </c>
      <c r="C16" s="1" t="s">
        <v>23</v>
      </c>
      <c r="D16" s="1" t="s">
        <v>60</v>
      </c>
      <c r="E16" s="2">
        <v>0.70915399999999995</v>
      </c>
      <c r="F16" s="2">
        <v>5.66E-6</v>
      </c>
      <c r="G16" s="2">
        <v>2.8992366332806608E-5</v>
      </c>
      <c r="H16" s="9">
        <v>0.70918299236633275</v>
      </c>
      <c r="I16" s="10">
        <v>1.132E-5</v>
      </c>
      <c r="J16" s="2">
        <v>1.029657E-3</v>
      </c>
      <c r="K16" s="2">
        <v>4.5600000000000004E-6</v>
      </c>
      <c r="L16" s="2">
        <v>2.140109E-4</v>
      </c>
      <c r="M16" s="2">
        <v>2.05E-7</v>
      </c>
      <c r="N16" s="2">
        <v>1.50898</v>
      </c>
      <c r="O16" s="2">
        <v>5.1500000000000005E-4</v>
      </c>
      <c r="P16" s="2">
        <v>13.82391</v>
      </c>
      <c r="Q16" s="2">
        <v>3.6900000000000002E-2</v>
      </c>
      <c r="R16" s="2">
        <v>2.1757220000000001E-4</v>
      </c>
      <c r="S16" s="2">
        <v>9.5900000000000005E-7</v>
      </c>
      <c r="T16" s="2">
        <v>7.320399E-3</v>
      </c>
      <c r="U16" s="2">
        <v>4.8999999999999997E-6</v>
      </c>
      <c r="V16" s="2">
        <v>0.11565499999999999</v>
      </c>
      <c r="W16" s="2">
        <v>2.5500000000000001E-6</v>
      </c>
      <c r="X16" s="2">
        <v>8.3227979999999993E-2</v>
      </c>
      <c r="Y16" s="2">
        <v>9.4200000000000004E-7</v>
      </c>
      <c r="Z16" s="2">
        <v>0.72035780000000005</v>
      </c>
      <c r="AA16" s="2">
        <v>1.2099999999999999E-5</v>
      </c>
      <c r="AB16" s="2">
        <v>1.4181279999999999E-2</v>
      </c>
      <c r="AC16" s="2">
        <v>3.6900000000000002E-5</v>
      </c>
      <c r="AD16" s="2">
        <v>2.951974E-3</v>
      </c>
      <c r="AE16" s="2">
        <v>7.9200000000000004E-6</v>
      </c>
    </row>
    <row r="17" spans="1:31" s="1" customFormat="1" x14ac:dyDescent="0.25">
      <c r="A17" s="8" t="s">
        <v>61</v>
      </c>
      <c r="B17" s="1" t="s">
        <v>62</v>
      </c>
      <c r="C17" s="1" t="s">
        <v>23</v>
      </c>
      <c r="D17" s="1" t="s">
        <v>63</v>
      </c>
      <c r="E17" s="2">
        <v>0.72745070000000001</v>
      </c>
      <c r="F17" s="2">
        <v>8.1000000000000004E-6</v>
      </c>
      <c r="G17" s="2">
        <v>2.9479192568662744E-5</v>
      </c>
      <c r="H17" s="9">
        <v>0.72748017919256869</v>
      </c>
      <c r="I17" s="10">
        <v>1.6200000000000001E-5</v>
      </c>
      <c r="J17" s="2">
        <v>8.3381830000000005E-4</v>
      </c>
      <c r="K17" s="2">
        <v>1.4500000000000001E-6</v>
      </c>
      <c r="L17" s="2">
        <v>1.0847460000000001E-4</v>
      </c>
      <c r="M17" s="2">
        <v>1.4700000000000001E-7</v>
      </c>
      <c r="N17" s="2">
        <v>1.5060659999999999</v>
      </c>
      <c r="O17" s="2">
        <v>5.2999999999999998E-4</v>
      </c>
      <c r="P17" s="2">
        <v>14.675649999999999</v>
      </c>
      <c r="Q17" s="2">
        <v>4.82E-2</v>
      </c>
      <c r="R17" s="2">
        <v>1.7775439999999999E-4</v>
      </c>
      <c r="S17" s="2">
        <v>2.9299999999999999E-7</v>
      </c>
      <c r="T17" s="2">
        <v>7.1269439999999996E-3</v>
      </c>
      <c r="U17" s="2">
        <v>1.3999999999999999E-6</v>
      </c>
      <c r="V17" s="2">
        <v>0.115602</v>
      </c>
      <c r="W17" s="2">
        <v>1.17E-6</v>
      </c>
      <c r="X17" s="2">
        <v>8.5378670000000004E-2</v>
      </c>
      <c r="Y17" s="2">
        <v>1.06E-6</v>
      </c>
      <c r="Z17" s="2">
        <v>0.73893030000000004</v>
      </c>
      <c r="AA17" s="2">
        <v>9.0100000000000001E-6</v>
      </c>
      <c r="AB17" s="2">
        <v>1.2245600000000001E-2</v>
      </c>
      <c r="AC17" s="2">
        <v>5.0800000000000002E-5</v>
      </c>
      <c r="AD17" s="2">
        <v>1.594617E-3</v>
      </c>
      <c r="AE17" s="2">
        <v>4.7899999999999999E-6</v>
      </c>
    </row>
    <row r="18" spans="1:31" s="1" customFormat="1" x14ac:dyDescent="0.25">
      <c r="A18" s="8" t="s">
        <v>64</v>
      </c>
      <c r="B18" s="1" t="s">
        <v>65</v>
      </c>
      <c r="C18" s="1" t="s">
        <v>66</v>
      </c>
      <c r="D18" s="1" t="s">
        <v>67</v>
      </c>
      <c r="E18" s="2">
        <v>0.71404009999999996</v>
      </c>
      <c r="F18" s="2">
        <v>6.5400000000000001E-6</v>
      </c>
      <c r="G18" s="2">
        <v>3.3421593642133415E-4</v>
      </c>
      <c r="H18" s="9">
        <v>0.71437431593642131</v>
      </c>
      <c r="I18" s="10">
        <v>1.308E-5</v>
      </c>
      <c r="J18" s="2">
        <v>6.6266939999999998E-4</v>
      </c>
      <c r="K18" s="2">
        <v>1.6700000000000001E-6</v>
      </c>
      <c r="L18" s="2">
        <v>6.1894520000000005E-4</v>
      </c>
      <c r="M18" s="2">
        <v>7.4399999999999999E-7</v>
      </c>
      <c r="N18" s="2">
        <v>1.4759059999999999</v>
      </c>
      <c r="O18" s="2">
        <v>1.1800000000000001E-3</v>
      </c>
      <c r="P18" s="2">
        <v>12.77637</v>
      </c>
      <c r="Q18" s="2">
        <v>5.2299999999999999E-2</v>
      </c>
      <c r="R18" s="2">
        <v>1.5367350000000001E-4</v>
      </c>
      <c r="S18" s="2">
        <v>4.34E-7</v>
      </c>
      <c r="T18" s="2">
        <v>6.9628190000000003E-3</v>
      </c>
      <c r="U18" s="2">
        <v>1.77E-6</v>
      </c>
      <c r="V18" s="2">
        <v>0.1156278</v>
      </c>
      <c r="W18" s="2">
        <v>3.2399999999999999E-6</v>
      </c>
      <c r="X18" s="2">
        <v>8.3833740000000004E-2</v>
      </c>
      <c r="Y18" s="2">
        <v>1.5600000000000001E-6</v>
      </c>
      <c r="Z18" s="2">
        <v>0.72716559999999997</v>
      </c>
      <c r="AA18" s="2">
        <v>1.22E-5</v>
      </c>
      <c r="AB18" s="2">
        <v>8.4426780000000003E-3</v>
      </c>
      <c r="AC18" s="2">
        <v>3.1099999999999997E-5</v>
      </c>
      <c r="AD18" s="2">
        <v>7.9034469999999992E-3</v>
      </c>
      <c r="AE18" s="2">
        <v>3.8300000000000003E-5</v>
      </c>
    </row>
    <row r="19" spans="1:31" s="1" customFormat="1" x14ac:dyDescent="0.25">
      <c r="A19" s="8" t="s">
        <v>68</v>
      </c>
      <c r="B19" s="1" t="s">
        <v>69</v>
      </c>
      <c r="C19" s="1" t="s">
        <v>66</v>
      </c>
      <c r="D19" s="1" t="s">
        <v>70</v>
      </c>
      <c r="E19" s="2">
        <v>0.70970659999999997</v>
      </c>
      <c r="F19" s="2">
        <v>8.5599999999999994E-6</v>
      </c>
      <c r="G19" s="2">
        <v>3.7169381E-4</v>
      </c>
      <c r="H19" s="9">
        <f t="shared" ref="H19:H20" si="0">E19+G19</f>
        <v>0.71007829380999998</v>
      </c>
      <c r="I19" s="10">
        <f t="shared" ref="I19:I20" si="1">2*F19</f>
        <v>1.7119999999999999E-5</v>
      </c>
      <c r="J19" s="2">
        <v>8.2202200000000005E-4</v>
      </c>
      <c r="K19" s="2">
        <v>4.6999999999999999E-6</v>
      </c>
      <c r="L19" s="2">
        <v>4.0275549999999998E-4</v>
      </c>
      <c r="M19" s="2">
        <v>7.7700000000000004E-7</v>
      </c>
      <c r="N19" s="2">
        <v>1.5249999999999999</v>
      </c>
      <c r="O19" s="2">
        <v>7.5799999999999999E-4</v>
      </c>
      <c r="P19" s="2">
        <v>10.47564</v>
      </c>
      <c r="Q19" s="2">
        <v>3.8100000000000002E-2</v>
      </c>
      <c r="R19" s="2">
        <v>1.9421320000000001E-4</v>
      </c>
      <c r="S19" s="2">
        <v>1.22E-6</v>
      </c>
      <c r="T19" s="2">
        <v>7.1097219999999997E-3</v>
      </c>
      <c r="U19" s="2">
        <v>4.87E-6</v>
      </c>
      <c r="V19" s="2">
        <v>0.1155465</v>
      </c>
      <c r="W19" s="2">
        <v>3.0199999999999999E-6</v>
      </c>
      <c r="X19" s="2">
        <v>8.3279119999999998E-2</v>
      </c>
      <c r="Y19" s="2">
        <v>1.22E-6</v>
      </c>
      <c r="Z19" s="2">
        <v>0.72210479999999999</v>
      </c>
      <c r="AA19" s="2">
        <v>1.8700000000000001E-5</v>
      </c>
      <c r="AB19" s="2">
        <v>8.6078279999999997E-3</v>
      </c>
      <c r="AC19" s="2">
        <v>1.7499999999999998E-5</v>
      </c>
      <c r="AD19" s="2">
        <v>4.2335230000000003E-3</v>
      </c>
      <c r="AE19" s="2">
        <v>1.8E-5</v>
      </c>
    </row>
    <row r="20" spans="1:31" s="1" customFormat="1" x14ac:dyDescent="0.25">
      <c r="A20" s="8" t="s">
        <v>71</v>
      </c>
      <c r="B20" s="1" t="s">
        <v>72</v>
      </c>
      <c r="C20" s="1" t="s">
        <v>66</v>
      </c>
      <c r="D20" s="1" t="s">
        <v>73</v>
      </c>
      <c r="E20" s="2">
        <v>0.70982659999999997</v>
      </c>
      <c r="F20" s="2">
        <v>6.7599999999999997E-6</v>
      </c>
      <c r="G20" s="2">
        <v>3.4848713999999995E-4</v>
      </c>
      <c r="H20" s="9">
        <f t="shared" si="0"/>
        <v>0.71017508713999999</v>
      </c>
      <c r="I20" s="10">
        <f t="shared" si="1"/>
        <v>1.3519999999999999E-5</v>
      </c>
      <c r="J20" s="2">
        <v>6.5111620000000005E-4</v>
      </c>
      <c r="K20" s="2">
        <v>2.1900000000000002E-6</v>
      </c>
      <c r="L20" s="2">
        <v>7.0975979999999997E-4</v>
      </c>
      <c r="M20" s="2">
        <v>9.569999999999999E-7</v>
      </c>
      <c r="N20" s="2">
        <v>1.5083690000000001</v>
      </c>
      <c r="O20" s="2">
        <v>7.3499999999999998E-4</v>
      </c>
      <c r="P20" s="2">
        <v>12.715999999999999</v>
      </c>
      <c r="Q20" s="2">
        <v>5.1999999999999998E-2</v>
      </c>
      <c r="R20" s="2">
        <v>1.5206590000000001E-4</v>
      </c>
      <c r="S20" s="2">
        <v>4.8699999999999995E-7</v>
      </c>
      <c r="T20" s="2">
        <v>6.9437099999999996E-3</v>
      </c>
      <c r="U20" s="2">
        <v>2.21E-6</v>
      </c>
      <c r="V20" s="2">
        <v>0.11553769999999999</v>
      </c>
      <c r="W20" s="2">
        <v>1.9999999999999999E-6</v>
      </c>
      <c r="X20" s="2">
        <v>8.3308199999999999E-2</v>
      </c>
      <c r="Y20" s="2">
        <v>1.1799999999999999E-6</v>
      </c>
      <c r="Z20" s="2">
        <v>0.72348699999999999</v>
      </c>
      <c r="AA20" s="2">
        <v>1.1399999999999999E-5</v>
      </c>
      <c r="AB20" s="2">
        <v>8.2618919999999998E-3</v>
      </c>
      <c r="AC20" s="2">
        <v>2.8099999999999999E-5</v>
      </c>
      <c r="AD20" s="2">
        <v>9.0234649999999996E-3</v>
      </c>
      <c r="AE20" s="2">
        <v>4.2500000000000003E-5</v>
      </c>
    </row>
    <row r="21" spans="1:31" s="1" customFormat="1" x14ac:dyDescent="0.25">
      <c r="A21" s="8" t="s">
        <v>71</v>
      </c>
      <c r="B21" s="1" t="s">
        <v>74</v>
      </c>
      <c r="C21" s="1" t="s">
        <v>66</v>
      </c>
      <c r="D21" s="1" t="s">
        <v>75</v>
      </c>
      <c r="E21" s="2">
        <v>0.7100919</v>
      </c>
      <c r="F21" s="2">
        <v>5.3199999999999999E-6</v>
      </c>
      <c r="G21" s="2">
        <v>1.3348913999999975E-4</v>
      </c>
      <c r="H21" s="9">
        <v>0.71022538914</v>
      </c>
      <c r="I21" s="10">
        <v>1.064E-5</v>
      </c>
      <c r="J21" s="2">
        <v>7.9650830000000002E-4</v>
      </c>
      <c r="K21" s="2">
        <v>3.1999999999999999E-6</v>
      </c>
      <c r="L21" s="2">
        <v>6.606537E-4</v>
      </c>
      <c r="M21" s="2">
        <v>2.9299999999999999E-7</v>
      </c>
      <c r="N21" s="2">
        <v>1.5600590000000001</v>
      </c>
      <c r="O21" s="2">
        <v>4.8999999999999998E-4</v>
      </c>
      <c r="P21" s="2">
        <v>12.28201</v>
      </c>
      <c r="Q21" s="2">
        <v>4.3799999999999999E-2</v>
      </c>
      <c r="R21" s="2">
        <v>1.76484E-4</v>
      </c>
      <c r="S21" s="2">
        <v>6.6899999999999997E-7</v>
      </c>
      <c r="T21" s="2">
        <v>7.0739829999999998E-3</v>
      </c>
      <c r="U21" s="2">
        <v>3.32E-6</v>
      </c>
      <c r="V21" s="2">
        <v>0.11544699999999999</v>
      </c>
      <c r="W21" s="2">
        <v>2.12E-6</v>
      </c>
      <c r="X21" s="2">
        <v>8.3290069999999994E-2</v>
      </c>
      <c r="Y21" s="2">
        <v>7.8599999999999997E-7</v>
      </c>
      <c r="Z21" s="2">
        <v>0.72373169999999998</v>
      </c>
      <c r="AA21" s="2">
        <v>1.15E-5</v>
      </c>
      <c r="AB21" s="2">
        <v>9.777272E-3</v>
      </c>
      <c r="AC21" s="2">
        <v>8.5099999999999998E-6</v>
      </c>
      <c r="AD21" s="2">
        <v>8.1107809999999992E-3</v>
      </c>
      <c r="AE21" s="2">
        <v>3.0300000000000001E-5</v>
      </c>
    </row>
    <row r="22" spans="1:31" s="1" customFormat="1" x14ac:dyDescent="0.25">
      <c r="A22" s="8" t="s">
        <v>76</v>
      </c>
      <c r="B22" s="1" t="s">
        <v>77</v>
      </c>
      <c r="C22" s="1" t="s">
        <v>66</v>
      </c>
      <c r="D22" s="1" t="s">
        <v>78</v>
      </c>
      <c r="E22" s="2">
        <v>0.71381729999999999</v>
      </c>
      <c r="F22" s="2">
        <v>6.7100000000000001E-6</v>
      </c>
      <c r="G22" s="2">
        <v>2.9357888999999998E-4</v>
      </c>
      <c r="H22" s="9">
        <v>0.71411087889000002</v>
      </c>
      <c r="I22" s="10">
        <v>1.342E-5</v>
      </c>
      <c r="J22" s="2">
        <v>6.8141969999999997E-4</v>
      </c>
      <c r="K22" s="2">
        <v>3.4199999999999999E-6</v>
      </c>
      <c r="L22" s="2">
        <v>5.2261790000000005E-4</v>
      </c>
      <c r="M22" s="2">
        <v>7.2900000000000003E-7</v>
      </c>
      <c r="N22" s="2">
        <v>1.5089300000000001</v>
      </c>
      <c r="O22" s="2">
        <v>7.4200000000000004E-4</v>
      </c>
      <c r="P22" s="2">
        <v>11.43942</v>
      </c>
      <c r="Q22" s="2">
        <v>3.1E-2</v>
      </c>
      <c r="R22" s="2">
        <v>1.6249020000000001E-4</v>
      </c>
      <c r="S22" s="2">
        <v>7.0500000000000003E-7</v>
      </c>
      <c r="T22" s="2">
        <v>6.9737519999999997E-3</v>
      </c>
      <c r="U22" s="2">
        <v>3.58E-6</v>
      </c>
      <c r="V22" s="2">
        <v>0.1155455</v>
      </c>
      <c r="W22" s="2">
        <v>2.7499999999999999E-6</v>
      </c>
      <c r="X22" s="2">
        <v>8.3777089999999999E-2</v>
      </c>
      <c r="Y22" s="2">
        <v>1.06E-6</v>
      </c>
      <c r="Z22" s="2">
        <v>0.72685</v>
      </c>
      <c r="AA22" s="2">
        <v>1.3699999999999999E-5</v>
      </c>
      <c r="AB22" s="2">
        <v>7.7643670000000003E-3</v>
      </c>
      <c r="AC22" s="2">
        <v>1.7E-5</v>
      </c>
      <c r="AD22" s="2">
        <v>5.9718430000000001E-3</v>
      </c>
      <c r="AE22" s="2">
        <v>2.2099999999999998E-5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2CB0-BDA7-B441-92FE-D7EBAC9B7615}">
  <dimension ref="A2:AE45"/>
  <sheetViews>
    <sheetView topLeftCell="A19" workbookViewId="0">
      <selection activeCell="C19" sqref="C19"/>
    </sheetView>
  </sheetViews>
  <sheetFormatPr defaultColWidth="11" defaultRowHeight="15.75" x14ac:dyDescent="0.25"/>
  <cols>
    <col min="1" max="1" width="15.875" bestFit="1" customWidth="1"/>
    <col min="2" max="2" width="45.875" bestFit="1" customWidth="1"/>
    <col min="8" max="8" width="13.625" bestFit="1" customWidth="1"/>
  </cols>
  <sheetData>
    <row r="2" spans="1:31" s="1" customFormat="1" x14ac:dyDescent="0.25">
      <c r="E2" s="2"/>
      <c r="G2"/>
      <c r="H2" s="11" t="s">
        <v>0</v>
      </c>
      <c r="I2" s="11"/>
    </row>
    <row r="3" spans="1:31" s="5" customFormat="1" ht="15" x14ac:dyDescent="0.25">
      <c r="A3" s="5" t="s">
        <v>79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5" t="s">
        <v>7</v>
      </c>
      <c r="H3" s="12" t="s">
        <v>8</v>
      </c>
      <c r="I3" s="12" t="s">
        <v>9</v>
      </c>
      <c r="J3" s="5" t="s">
        <v>10</v>
      </c>
      <c r="K3" s="5" t="s">
        <v>6</v>
      </c>
      <c r="L3" s="5" t="s">
        <v>11</v>
      </c>
      <c r="M3" s="5" t="s">
        <v>6</v>
      </c>
      <c r="N3" s="5" t="s">
        <v>12</v>
      </c>
      <c r="O3" s="5" t="s">
        <v>6</v>
      </c>
      <c r="P3" s="5" t="s">
        <v>13</v>
      </c>
      <c r="Q3" s="5" t="s">
        <v>6</v>
      </c>
      <c r="R3" s="5" t="s">
        <v>14</v>
      </c>
      <c r="S3" s="5" t="s">
        <v>6</v>
      </c>
      <c r="T3" s="5" t="s">
        <v>15</v>
      </c>
      <c r="U3" s="5" t="s">
        <v>6</v>
      </c>
      <c r="V3" s="5" t="s">
        <v>16</v>
      </c>
      <c r="W3" s="5" t="s">
        <v>6</v>
      </c>
      <c r="X3" s="5" t="s">
        <v>17</v>
      </c>
      <c r="Y3" s="5" t="s">
        <v>6</v>
      </c>
      <c r="Z3" s="5" t="s">
        <v>18</v>
      </c>
      <c r="AA3" s="5" t="s">
        <v>6</v>
      </c>
      <c r="AB3" s="5" t="s">
        <v>19</v>
      </c>
      <c r="AC3" s="5" t="s">
        <v>6</v>
      </c>
      <c r="AD3" s="5" t="s">
        <v>20</v>
      </c>
      <c r="AE3" s="5" t="s">
        <v>6</v>
      </c>
    </row>
    <row r="4" spans="1:31" s="1" customFormat="1" x14ac:dyDescent="0.25">
      <c r="A4" s="8" t="s">
        <v>80</v>
      </c>
      <c r="B4" s="1" t="s">
        <v>81</v>
      </c>
      <c r="C4" s="1" t="s">
        <v>23</v>
      </c>
      <c r="D4" s="1" t="s">
        <v>82</v>
      </c>
      <c r="E4" s="2">
        <v>0.71018460000000005</v>
      </c>
      <c r="F4" s="2">
        <v>5.2399999999999998E-6</v>
      </c>
      <c r="G4" s="2">
        <v>6.4399999999999993E-5</v>
      </c>
      <c r="H4" s="13">
        <v>0.71024900000000002</v>
      </c>
      <c r="I4" s="14">
        <v>1.048E-5</v>
      </c>
      <c r="J4" s="2">
        <v>8.7503739999999998E-4</v>
      </c>
      <c r="K4" s="2">
        <v>2.6400000000000001E-6</v>
      </c>
      <c r="L4" s="2">
        <v>1.8593240000000001E-4</v>
      </c>
      <c r="M4" s="2">
        <v>2.9900000000000002E-7</v>
      </c>
      <c r="N4" s="2">
        <v>1.475122</v>
      </c>
      <c r="O4" s="2">
        <v>6.7900000000000002E-4</v>
      </c>
      <c r="P4" s="2">
        <v>13.650219999999999</v>
      </c>
      <c r="Q4" s="2">
        <v>3.4799999999999998E-2</v>
      </c>
      <c r="R4" s="2">
        <v>1.863345E-4</v>
      </c>
      <c r="S4" s="2">
        <v>7.3200000000000004E-7</v>
      </c>
      <c r="T4" s="2">
        <v>7.1772229999999999E-3</v>
      </c>
      <c r="U4" s="2">
        <v>2.7199999999999998E-6</v>
      </c>
      <c r="V4" s="2">
        <v>0.1156963</v>
      </c>
      <c r="W4" s="2">
        <v>2.21E-6</v>
      </c>
      <c r="X4" s="2">
        <v>8.3381399999999994E-2</v>
      </c>
      <c r="Y4" s="2">
        <v>8.85E-7</v>
      </c>
      <c r="Z4" s="2">
        <v>0.72132510000000005</v>
      </c>
      <c r="AA4" s="2">
        <v>1.11E-5</v>
      </c>
      <c r="AB4" s="2">
        <v>1.1957539999999999E-2</v>
      </c>
      <c r="AC4" s="2">
        <v>2.5000000000000001E-5</v>
      </c>
      <c r="AD4" s="2">
        <v>2.5400399999999999E-3</v>
      </c>
      <c r="AE4" s="2">
        <v>4.8899999999999998E-6</v>
      </c>
    </row>
    <row r="5" spans="1:31" s="1" customFormat="1" x14ac:dyDescent="0.25">
      <c r="A5" s="8" t="s">
        <v>80</v>
      </c>
      <c r="B5" s="1" t="s">
        <v>81</v>
      </c>
      <c r="C5" s="1" t="s">
        <v>23</v>
      </c>
      <c r="D5" s="1" t="s">
        <v>83</v>
      </c>
      <c r="E5" s="2">
        <v>0.71019030000000005</v>
      </c>
      <c r="F5" s="2">
        <v>7.1500000000000002E-6</v>
      </c>
      <c r="G5" s="2">
        <v>5.8699969999999995E-5</v>
      </c>
      <c r="H5" s="13">
        <v>0.71024899997000002</v>
      </c>
      <c r="I5" s="14">
        <v>1.43E-5</v>
      </c>
      <c r="J5" s="2">
        <v>8.9385110000000001E-4</v>
      </c>
      <c r="K5" s="2">
        <v>2.2400000000000002E-6</v>
      </c>
      <c r="L5" s="2">
        <v>1.870671E-4</v>
      </c>
      <c r="M5" s="2">
        <v>1.7800000000000001E-7</v>
      </c>
      <c r="N5" s="2">
        <v>1.464296</v>
      </c>
      <c r="O5" s="2">
        <v>7.7999999999999999E-4</v>
      </c>
      <c r="P5" s="2">
        <v>14.332879999999999</v>
      </c>
      <c r="Q5" s="2">
        <v>0.05</v>
      </c>
      <c r="R5" s="2">
        <v>1.8842260000000001E-4</v>
      </c>
      <c r="S5" s="2">
        <v>4.8500000000000002E-7</v>
      </c>
      <c r="T5" s="2">
        <v>7.1994600000000004E-3</v>
      </c>
      <c r="U5" s="2">
        <v>2.21E-6</v>
      </c>
      <c r="V5" s="2">
        <v>0.11573029999999999</v>
      </c>
      <c r="W5" s="2">
        <v>1.7999999999999999E-6</v>
      </c>
      <c r="X5" s="2">
        <v>8.3393560000000005E-2</v>
      </c>
      <c r="Y5" s="2">
        <v>9.9800000000000002E-7</v>
      </c>
      <c r="Z5" s="2">
        <v>0.72121029999999997</v>
      </c>
      <c r="AA5" s="2">
        <v>1.0699999999999999E-5</v>
      </c>
      <c r="AB5" s="2">
        <v>1.27346E-2</v>
      </c>
      <c r="AC5" s="2">
        <v>6.2700000000000006E-5</v>
      </c>
      <c r="AD5" s="2">
        <v>2.6713309999999999E-3</v>
      </c>
      <c r="AE5" s="2">
        <v>1.0499999999999999E-5</v>
      </c>
    </row>
    <row r="6" spans="1:31" s="1" customFormat="1" x14ac:dyDescent="0.25">
      <c r="A6" s="8" t="s">
        <v>80</v>
      </c>
      <c r="B6" s="1" t="s">
        <v>81</v>
      </c>
      <c r="C6" s="1" t="s">
        <v>23</v>
      </c>
      <c r="D6" s="1" t="s">
        <v>84</v>
      </c>
      <c r="E6" s="2">
        <v>0.71025689999999997</v>
      </c>
      <c r="F6" s="2">
        <v>6.0399999999999998E-6</v>
      </c>
      <c r="G6" s="2">
        <v>-6.87358E-6</v>
      </c>
      <c r="H6" s="13">
        <v>0.71025002642000001</v>
      </c>
      <c r="I6" s="14">
        <v>1.208E-5</v>
      </c>
      <c r="J6" s="2">
        <v>8.5882560000000001E-4</v>
      </c>
      <c r="K6" s="2">
        <v>2.1500000000000002E-6</v>
      </c>
      <c r="L6" s="2">
        <v>1.8509740000000001E-4</v>
      </c>
      <c r="M6" s="2">
        <v>2.0699999999999999E-7</v>
      </c>
      <c r="N6" s="2">
        <v>1.483948</v>
      </c>
      <c r="O6" s="2">
        <v>5.0600000000000005E-4</v>
      </c>
      <c r="P6" s="2">
        <v>14.59671</v>
      </c>
      <c r="Q6" s="2">
        <v>4.7100000000000003E-2</v>
      </c>
      <c r="R6" s="2">
        <v>1.8243050000000001E-4</v>
      </c>
      <c r="S6" s="2">
        <v>3.8799999999999998E-7</v>
      </c>
      <c r="T6" s="2">
        <v>7.1586430000000001E-3</v>
      </c>
      <c r="U6" s="2">
        <v>2.1500000000000002E-6</v>
      </c>
      <c r="V6" s="2">
        <v>0.11566849999999999</v>
      </c>
      <c r="W6" s="2">
        <v>1.5E-6</v>
      </c>
      <c r="X6" s="2">
        <v>8.3382109999999995E-2</v>
      </c>
      <c r="Y6" s="2">
        <v>8.7000000000000003E-7</v>
      </c>
      <c r="Z6" s="2">
        <v>0.72149969999999997</v>
      </c>
      <c r="AA6" s="2">
        <v>8.5900000000000008E-6</v>
      </c>
      <c r="AB6" s="2">
        <v>1.249454E-2</v>
      </c>
      <c r="AC6" s="2">
        <v>6.1199999999999997E-5</v>
      </c>
      <c r="AD6" s="2">
        <v>2.6965309999999998E-3</v>
      </c>
      <c r="AE6" s="2">
        <v>1.01E-5</v>
      </c>
    </row>
    <row r="7" spans="1:31" s="1" customFormat="1" x14ac:dyDescent="0.25">
      <c r="A7" s="8" t="s">
        <v>80</v>
      </c>
      <c r="B7" s="1" t="s">
        <v>81</v>
      </c>
      <c r="C7" s="1" t="s">
        <v>23</v>
      </c>
      <c r="D7" s="1" t="s">
        <v>85</v>
      </c>
      <c r="E7" s="2">
        <v>0.71023440000000004</v>
      </c>
      <c r="F7" s="2">
        <v>7.0099999999999998E-6</v>
      </c>
      <c r="G7" s="2">
        <v>8.9838114455984806E-6</v>
      </c>
      <c r="H7" s="13">
        <v>0.71024338381144569</v>
      </c>
      <c r="I7" s="14">
        <v>1.402E-5</v>
      </c>
      <c r="J7" s="2">
        <v>8.396473E-4</v>
      </c>
      <c r="K7" s="2">
        <v>3.32E-6</v>
      </c>
      <c r="L7" s="2">
        <v>1.8380480000000001E-4</v>
      </c>
      <c r="M7" s="2">
        <v>1.3300000000000001E-7</v>
      </c>
      <c r="N7" s="2">
        <v>1.4758089999999999</v>
      </c>
      <c r="O7" s="2">
        <v>5.5400000000000002E-4</v>
      </c>
      <c r="P7" s="2">
        <v>14.608269999999999</v>
      </c>
      <c r="Q7" s="2">
        <v>5.7799999999999997E-2</v>
      </c>
      <c r="R7" s="2">
        <v>1.7734390000000001E-4</v>
      </c>
      <c r="S7" s="2">
        <v>8.1500000000000003E-7</v>
      </c>
      <c r="T7" s="2">
        <v>7.1417049999999999E-3</v>
      </c>
      <c r="U7" s="2">
        <v>3.45E-6</v>
      </c>
      <c r="V7" s="2">
        <v>0.11568349999999999</v>
      </c>
      <c r="W7" s="2">
        <v>2.34E-6</v>
      </c>
      <c r="X7" s="2">
        <v>8.3387089999999997E-2</v>
      </c>
      <c r="Y7" s="2">
        <v>9.0999999999999997E-7</v>
      </c>
      <c r="Z7" s="2">
        <v>0.72144129999999995</v>
      </c>
      <c r="AA7" s="2">
        <v>1.3499999999999999E-5</v>
      </c>
      <c r="AB7" s="2">
        <v>1.226211E-2</v>
      </c>
      <c r="AC7" s="2">
        <v>1.0499999999999999E-5</v>
      </c>
      <c r="AD7" s="2">
        <v>2.6835259999999999E-3</v>
      </c>
      <c r="AE7" s="2">
        <v>1.0499999999999999E-5</v>
      </c>
    </row>
    <row r="8" spans="1:31" s="1" customFormat="1" x14ac:dyDescent="0.25">
      <c r="A8" s="8" t="s">
        <v>80</v>
      </c>
      <c r="B8" s="1" t="s">
        <v>81</v>
      </c>
      <c r="C8" s="1" t="s">
        <v>23</v>
      </c>
      <c r="D8" s="1" t="s">
        <v>86</v>
      </c>
      <c r="E8" s="2">
        <v>0.71023369999999997</v>
      </c>
      <c r="F8" s="2">
        <v>6.8700000000000003E-6</v>
      </c>
      <c r="G8" s="2">
        <v>2.6188486523329281E-5</v>
      </c>
      <c r="H8" s="13">
        <v>0.71025988848652333</v>
      </c>
      <c r="I8" s="14">
        <v>1.3740000000000001E-5</v>
      </c>
      <c r="J8" s="2">
        <v>1.0398E-3</v>
      </c>
      <c r="K8" s="2">
        <v>2.0999999999999998E-6</v>
      </c>
      <c r="L8" s="2">
        <v>1.966844E-4</v>
      </c>
      <c r="M8" s="2">
        <v>3.3700000000000001E-7</v>
      </c>
      <c r="N8" s="2">
        <v>1.5005470000000001</v>
      </c>
      <c r="O8" s="2">
        <v>4.7600000000000002E-4</v>
      </c>
      <c r="P8" s="2">
        <v>14.357049999999999</v>
      </c>
      <c r="Q8" s="2">
        <v>2.1399999999999999E-2</v>
      </c>
      <c r="R8" s="2">
        <v>2.1823139999999999E-4</v>
      </c>
      <c r="S8" s="2">
        <v>4.8500000000000002E-7</v>
      </c>
      <c r="T8" s="2">
        <v>7.3344949999999999E-3</v>
      </c>
      <c r="U8" s="2">
        <v>2.1799999999999999E-6</v>
      </c>
      <c r="V8" s="2">
        <v>0.11568150000000001</v>
      </c>
      <c r="W8" s="2">
        <v>1.72E-6</v>
      </c>
      <c r="X8" s="2">
        <v>8.3363400000000004E-2</v>
      </c>
      <c r="Y8" s="2">
        <v>8.7000000000000003E-7</v>
      </c>
      <c r="Z8" s="2">
        <v>0.72129399999999999</v>
      </c>
      <c r="AA8" s="2">
        <v>1.0699999999999999E-5</v>
      </c>
      <c r="AB8" s="2">
        <v>1.4938740000000001E-2</v>
      </c>
      <c r="AC8" s="2">
        <v>1.8099999999999999E-5</v>
      </c>
      <c r="AD8" s="2">
        <v>2.8202029999999999E-3</v>
      </c>
      <c r="AE8" s="2">
        <v>7.4599999999999997E-6</v>
      </c>
    </row>
    <row r="9" spans="1:31" s="1" customFormat="1" x14ac:dyDescent="0.25">
      <c r="A9" s="8" t="s">
        <v>80</v>
      </c>
      <c r="B9" s="1" t="s">
        <v>81</v>
      </c>
      <c r="C9" s="1" t="s">
        <v>23</v>
      </c>
      <c r="D9" s="1" t="s">
        <v>87</v>
      </c>
      <c r="E9" s="2">
        <v>0.71020859999999997</v>
      </c>
      <c r="F9" s="2">
        <v>7.0500000000000003E-6</v>
      </c>
      <c r="G9" s="2">
        <v>2.9946142709161641E-5</v>
      </c>
      <c r="H9" s="13">
        <v>0.71023854614270909</v>
      </c>
      <c r="I9" s="14">
        <v>1.4100000000000001E-5</v>
      </c>
      <c r="J9" s="2">
        <v>8.8834709999999998E-4</v>
      </c>
      <c r="K9" s="2">
        <v>7.06E-7</v>
      </c>
      <c r="L9" s="2">
        <v>1.974938E-4</v>
      </c>
      <c r="M9" s="2">
        <v>1.14E-7</v>
      </c>
      <c r="N9" s="2">
        <v>1.496046</v>
      </c>
      <c r="O9" s="2">
        <v>4.1399999999999998E-4</v>
      </c>
      <c r="P9" s="2">
        <v>13.988189999999999</v>
      </c>
      <c r="Q9" s="2">
        <v>1.41E-2</v>
      </c>
      <c r="R9" s="2">
        <v>1.894981E-4</v>
      </c>
      <c r="S9" s="2">
        <v>2.2700000000000001E-7</v>
      </c>
      <c r="T9" s="2">
        <v>7.1843360000000004E-3</v>
      </c>
      <c r="U9" s="2">
        <v>7.7400000000000002E-7</v>
      </c>
      <c r="V9" s="2">
        <v>0.11564580000000001</v>
      </c>
      <c r="W9" s="2">
        <v>1.22E-6</v>
      </c>
      <c r="X9" s="2">
        <v>8.3364350000000004E-2</v>
      </c>
      <c r="Y9" s="2">
        <v>7.8800000000000002E-7</v>
      </c>
      <c r="Z9" s="2">
        <v>0.72153929999999999</v>
      </c>
      <c r="AA9" s="2">
        <v>8.7600000000000008E-6</v>
      </c>
      <c r="AB9" s="2">
        <v>1.243998E-2</v>
      </c>
      <c r="AC9" s="2">
        <v>1.29E-5</v>
      </c>
      <c r="AD9" s="2">
        <v>2.7626439999999999E-3</v>
      </c>
      <c r="AE9" s="2">
        <v>3.2100000000000002E-6</v>
      </c>
    </row>
    <row r="10" spans="1:31" s="1" customFormat="1" x14ac:dyDescent="0.25">
      <c r="A10" s="8" t="s">
        <v>80</v>
      </c>
      <c r="B10" s="1" t="s">
        <v>81</v>
      </c>
      <c r="C10" s="1" t="s">
        <v>23</v>
      </c>
      <c r="D10" s="1" t="s">
        <v>88</v>
      </c>
      <c r="E10" s="2">
        <v>0.71017350000000001</v>
      </c>
      <c r="F10" s="2">
        <v>6.1700000000000002E-6</v>
      </c>
      <c r="G10" s="2">
        <v>7.5500000000000006E-5</v>
      </c>
      <c r="H10" s="13">
        <v>0.71024900000000002</v>
      </c>
      <c r="I10" s="14">
        <v>1.234E-5</v>
      </c>
      <c r="J10" s="2">
        <v>8.0865050000000001E-4</v>
      </c>
      <c r="K10" s="2">
        <v>4.4800000000000003E-6</v>
      </c>
      <c r="L10" s="2">
        <v>1.8589919999999999E-4</v>
      </c>
      <c r="M10" s="2">
        <v>2.84E-7</v>
      </c>
      <c r="N10" s="2">
        <v>1.443068</v>
      </c>
      <c r="O10" s="2">
        <v>1.0200000000000001E-3</v>
      </c>
      <c r="P10" s="2">
        <v>12.47879</v>
      </c>
      <c r="Q10" s="2">
        <v>4.1399999999999999E-2</v>
      </c>
      <c r="R10" s="2">
        <v>1.792745E-4</v>
      </c>
      <c r="S10" s="2">
        <v>1.0100000000000001E-6</v>
      </c>
      <c r="T10" s="2">
        <v>7.1203719999999998E-3</v>
      </c>
      <c r="U10" s="2">
        <v>4.7400000000000004E-6</v>
      </c>
      <c r="V10" s="2">
        <v>0.1157604</v>
      </c>
      <c r="W10" s="2">
        <v>3.9199999999999997E-6</v>
      </c>
      <c r="X10" s="2">
        <v>8.341134E-2</v>
      </c>
      <c r="Y10" s="2">
        <v>1.1599999999999999E-6</v>
      </c>
      <c r="Z10" s="2">
        <v>0.7211784</v>
      </c>
      <c r="AA10" s="2">
        <v>1.8300000000000001E-5</v>
      </c>
      <c r="AB10" s="2">
        <v>1.005141E-2</v>
      </c>
      <c r="AC10" s="2">
        <v>2.27E-5</v>
      </c>
      <c r="AD10" s="2">
        <v>2.3210140000000001E-3</v>
      </c>
      <c r="AE10" s="2">
        <v>7.4499999999999998E-6</v>
      </c>
    </row>
    <row r="11" spans="1:31" s="1" customFormat="1" x14ac:dyDescent="0.25">
      <c r="A11" s="8" t="s">
        <v>80</v>
      </c>
      <c r="B11" s="1" t="s">
        <v>89</v>
      </c>
      <c r="C11" s="1" t="s">
        <v>66</v>
      </c>
      <c r="D11" s="1" t="s">
        <v>90</v>
      </c>
      <c r="E11" s="2">
        <v>0.7096095</v>
      </c>
      <c r="F11" s="2">
        <v>7.4900000000000003E-6</v>
      </c>
      <c r="G11" s="2">
        <v>6.3949999999999999E-4</v>
      </c>
      <c r="H11" s="13">
        <v>0.71024900000000002</v>
      </c>
      <c r="I11" s="14">
        <v>1.4980000000000001E-5</v>
      </c>
      <c r="J11" s="2">
        <v>5.1834959999999997E-4</v>
      </c>
      <c r="K11" s="2">
        <v>1.4699999999999999E-6</v>
      </c>
      <c r="L11" s="2">
        <v>3.7048730000000001E-4</v>
      </c>
      <c r="M11" s="2">
        <v>2.3499999999999999E-6</v>
      </c>
      <c r="N11" s="2">
        <v>1.4979880000000001</v>
      </c>
      <c r="O11" s="2">
        <v>1.0300000000000001E-3</v>
      </c>
      <c r="P11" s="2">
        <v>12.695360000000001</v>
      </c>
      <c r="Q11" s="2">
        <v>3.5099999999999999E-2</v>
      </c>
      <c r="R11" s="2">
        <v>1.3165010000000001E-4</v>
      </c>
      <c r="S11" s="2">
        <v>3.72E-7</v>
      </c>
      <c r="T11" s="2">
        <v>6.8137859999999996E-3</v>
      </c>
      <c r="U11" s="2">
        <v>1.5099999999999999E-6</v>
      </c>
      <c r="V11" s="2">
        <v>0.11552460000000001</v>
      </c>
      <c r="W11" s="2">
        <v>2.8899999999999999E-6</v>
      </c>
      <c r="X11" s="2">
        <v>8.3292930000000001E-2</v>
      </c>
      <c r="Y11" s="2">
        <v>1.7400000000000001E-6</v>
      </c>
      <c r="Z11" s="2">
        <v>0.72227470000000005</v>
      </c>
      <c r="AA11" s="2">
        <v>1.29E-5</v>
      </c>
      <c r="AB11" s="2">
        <v>6.5766599999999998E-3</v>
      </c>
      <c r="AC11" s="2">
        <v>1.1E-5</v>
      </c>
      <c r="AD11" s="2">
        <v>4.6785910000000002E-3</v>
      </c>
      <c r="AE11" s="2">
        <v>4.0099999999999999E-5</v>
      </c>
    </row>
    <row r="12" spans="1:31" s="1" customFormat="1" x14ac:dyDescent="0.25">
      <c r="A12" s="8" t="s">
        <v>80</v>
      </c>
      <c r="B12" s="1" t="s">
        <v>89</v>
      </c>
      <c r="C12" s="1" t="s">
        <v>66</v>
      </c>
      <c r="D12" s="1" t="s">
        <v>91</v>
      </c>
      <c r="E12" s="2">
        <v>0.70972760000000001</v>
      </c>
      <c r="F12" s="2">
        <v>4.6399999999999996E-6</v>
      </c>
      <c r="G12" s="2">
        <v>5.214000030006248E-4</v>
      </c>
      <c r="H12" s="13">
        <v>0.71024900000300062</v>
      </c>
      <c r="I12" s="14">
        <v>9.2799999999999992E-6</v>
      </c>
      <c r="J12" s="2">
        <v>5.6227869999999995E-4</v>
      </c>
      <c r="K12" s="2">
        <v>2.0700000000000001E-6</v>
      </c>
      <c r="L12" s="2">
        <v>3.3469659999999998E-4</v>
      </c>
      <c r="M12" s="2">
        <v>1.04E-6</v>
      </c>
      <c r="N12" s="2">
        <v>1.4914540000000001</v>
      </c>
      <c r="O12" s="2">
        <v>5.2999999999999998E-4</v>
      </c>
      <c r="P12" s="2">
        <v>12.47649</v>
      </c>
      <c r="Q12" s="2">
        <v>3.3500000000000002E-2</v>
      </c>
      <c r="R12" s="2">
        <v>1.3845679999999999E-4</v>
      </c>
      <c r="S12" s="2">
        <v>3.8700000000000001E-7</v>
      </c>
      <c r="T12" s="2">
        <v>6.8598340000000004E-3</v>
      </c>
      <c r="U12" s="2">
        <v>2.0999999999999998E-6</v>
      </c>
      <c r="V12" s="2">
        <v>0.1155549</v>
      </c>
      <c r="W12" s="2">
        <v>1.6500000000000001E-6</v>
      </c>
      <c r="X12" s="2">
        <v>8.3311780000000002E-2</v>
      </c>
      <c r="Y12" s="2">
        <v>8.6499999999999998E-7</v>
      </c>
      <c r="Z12" s="2">
        <v>0.72212960000000004</v>
      </c>
      <c r="AA12" s="2">
        <v>7.7999999999999999E-6</v>
      </c>
      <c r="AB12" s="2">
        <v>6.9902779999999999E-3</v>
      </c>
      <c r="AC12" s="2">
        <v>2.1299999999999999E-5</v>
      </c>
      <c r="AD12" s="2">
        <v>4.1561870000000004E-3</v>
      </c>
      <c r="AE12" s="2">
        <v>1.5699999999999999E-5</v>
      </c>
    </row>
    <row r="13" spans="1:31" s="1" customFormat="1" x14ac:dyDescent="0.25">
      <c r="A13" s="8" t="s">
        <v>80</v>
      </c>
      <c r="B13" s="1" t="s">
        <v>89</v>
      </c>
      <c r="C13" s="1" t="s">
        <v>66</v>
      </c>
      <c r="D13" s="1" t="s">
        <v>92</v>
      </c>
      <c r="E13" s="2">
        <v>0.70981830000000001</v>
      </c>
      <c r="F13" s="2">
        <v>6.4200000000000004E-6</v>
      </c>
      <c r="G13" s="2">
        <v>4.2678998999999996E-4</v>
      </c>
      <c r="H13" s="13">
        <v>0.71024508999000002</v>
      </c>
      <c r="I13" s="14">
        <v>1.2840000000000001E-5</v>
      </c>
      <c r="J13" s="2">
        <v>5.8501620000000001E-4</v>
      </c>
      <c r="K13" s="2">
        <v>1.2899999999999999E-6</v>
      </c>
      <c r="L13" s="2">
        <v>3.0854740000000003E-4</v>
      </c>
      <c r="M13" s="2">
        <v>8.7300000000000005E-7</v>
      </c>
      <c r="N13" s="2">
        <v>1.499784</v>
      </c>
      <c r="O13" s="2">
        <v>6.2100000000000002E-4</v>
      </c>
      <c r="P13" s="2">
        <v>13.39804</v>
      </c>
      <c r="Q13" s="2">
        <v>4.1500000000000002E-2</v>
      </c>
      <c r="R13" s="2">
        <v>1.4128440000000001E-4</v>
      </c>
      <c r="S13" s="2">
        <v>3.7800000000000002E-7</v>
      </c>
      <c r="T13" s="2">
        <v>6.8799990000000004E-3</v>
      </c>
      <c r="U13" s="2">
        <v>1.2500000000000001E-6</v>
      </c>
      <c r="V13" s="2">
        <v>0.1155399</v>
      </c>
      <c r="W13" s="2">
        <v>1.59E-6</v>
      </c>
      <c r="X13" s="2">
        <v>8.3315979999999998E-2</v>
      </c>
      <c r="Y13" s="2">
        <v>1.0100000000000001E-6</v>
      </c>
      <c r="Z13" s="2">
        <v>0.72214670000000003</v>
      </c>
      <c r="AA13" s="2">
        <v>9.9799999999999993E-6</v>
      </c>
      <c r="AB13" s="2">
        <v>7.7984539999999998E-3</v>
      </c>
      <c r="AC13" s="2">
        <v>3.4400000000000003E-5</v>
      </c>
      <c r="AD13" s="2">
        <v>4.1189199999999999E-3</v>
      </c>
      <c r="AE13" s="2">
        <v>2.48E-5</v>
      </c>
    </row>
    <row r="14" spans="1:31" s="1" customFormat="1" x14ac:dyDescent="0.25">
      <c r="A14" s="8" t="s">
        <v>80</v>
      </c>
      <c r="B14" s="1" t="s">
        <v>89</v>
      </c>
      <c r="C14" s="1" t="s">
        <v>66</v>
      </c>
      <c r="D14" s="1" t="s">
        <v>93</v>
      </c>
      <c r="E14" s="2">
        <v>0.70986020000000005</v>
      </c>
      <c r="F14" s="2">
        <v>7.3200000000000002E-6</v>
      </c>
      <c r="G14" s="2">
        <v>3.9771743999999999E-4</v>
      </c>
      <c r="H14" s="13">
        <v>0.71025791744</v>
      </c>
      <c r="I14" s="14">
        <v>1.464E-5</v>
      </c>
      <c r="J14" s="2">
        <v>6.0420850000000002E-4</v>
      </c>
      <c r="K14" s="2">
        <v>1.9300000000000002E-6</v>
      </c>
      <c r="L14" s="2">
        <v>2.93505E-4</v>
      </c>
      <c r="M14" s="2">
        <v>6.8299999999999996E-7</v>
      </c>
      <c r="N14" s="2">
        <v>1.4952350000000001</v>
      </c>
      <c r="O14" s="2">
        <v>5.1999999999999995E-4</v>
      </c>
      <c r="P14" s="2">
        <v>12.635439999999999</v>
      </c>
      <c r="Q14" s="2">
        <v>4.4600000000000001E-2</v>
      </c>
      <c r="R14" s="2">
        <v>1.4474280000000001E-4</v>
      </c>
      <c r="S14" s="2">
        <v>4.2800000000000002E-7</v>
      </c>
      <c r="T14" s="2">
        <v>6.900588E-3</v>
      </c>
      <c r="U14" s="2">
        <v>1.9800000000000001E-6</v>
      </c>
      <c r="V14" s="2">
        <v>0.11555940000000001</v>
      </c>
      <c r="W14" s="2">
        <v>1.7099999999999999E-6</v>
      </c>
      <c r="X14" s="2">
        <v>8.3324839999999997E-2</v>
      </c>
      <c r="Y14" s="2">
        <v>1.0499999999999999E-6</v>
      </c>
      <c r="Z14" s="2">
        <v>0.72205929999999996</v>
      </c>
      <c r="AA14" s="2">
        <v>1.04E-5</v>
      </c>
      <c r="AB14" s="2">
        <v>7.6370159999999999E-3</v>
      </c>
      <c r="AC14" s="2">
        <v>2.2099999999999998E-5</v>
      </c>
      <c r="AD14" s="2">
        <v>3.7069160000000002E-3</v>
      </c>
      <c r="AE14" s="2">
        <v>1.6799999999999998E-5</v>
      </c>
    </row>
    <row r="15" spans="1:31" s="1" customFormat="1" x14ac:dyDescent="0.25">
      <c r="A15" s="8" t="s">
        <v>80</v>
      </c>
      <c r="B15" s="1" t="s">
        <v>89</v>
      </c>
      <c r="C15" s="1" t="s">
        <v>66</v>
      </c>
      <c r="D15" s="1" t="s">
        <v>94</v>
      </c>
      <c r="E15" s="2">
        <v>0.70991110000000002</v>
      </c>
      <c r="F15" s="2">
        <v>6.4899999999999997E-6</v>
      </c>
      <c r="G15" s="2">
        <v>3.2787410999999997E-4</v>
      </c>
      <c r="H15" s="13">
        <v>0.71023897411000003</v>
      </c>
      <c r="I15" s="14">
        <v>1.2979999999999999E-5</v>
      </c>
      <c r="J15" s="2">
        <v>6.2830779999999999E-4</v>
      </c>
      <c r="K15" s="2">
        <v>3.1200000000000002E-6</v>
      </c>
      <c r="L15" s="2">
        <v>2.8161320000000002E-4</v>
      </c>
      <c r="M15" s="2">
        <v>8.9500000000000001E-7</v>
      </c>
      <c r="N15" s="2">
        <v>1.4889810000000001</v>
      </c>
      <c r="O15" s="2">
        <v>6.9499999999999998E-4</v>
      </c>
      <c r="P15" s="2">
        <v>13.314349999999999</v>
      </c>
      <c r="Q15" s="2">
        <v>4.9200000000000001E-2</v>
      </c>
      <c r="R15" s="2">
        <v>1.479366E-4</v>
      </c>
      <c r="S15" s="2">
        <v>7.4300000000000002E-7</v>
      </c>
      <c r="T15" s="2">
        <v>6.9264849999999996E-3</v>
      </c>
      <c r="U15" s="2">
        <v>3.2899999999999998E-6</v>
      </c>
      <c r="V15" s="2">
        <v>0.11558259999999999</v>
      </c>
      <c r="W15" s="2">
        <v>2.74E-6</v>
      </c>
      <c r="X15" s="2">
        <v>8.3336839999999995E-2</v>
      </c>
      <c r="Y15" s="2">
        <v>1.11E-6</v>
      </c>
      <c r="Z15" s="2">
        <v>0.72197710000000004</v>
      </c>
      <c r="AA15" s="2">
        <v>1.43E-5</v>
      </c>
      <c r="AB15" s="2">
        <v>8.3408240000000002E-3</v>
      </c>
      <c r="AC15" s="2">
        <v>1.11E-5</v>
      </c>
      <c r="AD15" s="2">
        <v>3.732544E-3</v>
      </c>
      <c r="AE15" s="2">
        <v>2.4600000000000002E-5</v>
      </c>
    </row>
    <row r="16" spans="1:31" s="1" customFormat="1" x14ac:dyDescent="0.25">
      <c r="A16" s="8" t="s">
        <v>80</v>
      </c>
      <c r="B16" s="1" t="s">
        <v>89</v>
      </c>
      <c r="C16" s="1" t="s">
        <v>66</v>
      </c>
      <c r="D16" s="1" t="s">
        <v>95</v>
      </c>
      <c r="E16" s="2">
        <v>0.71002160000000003</v>
      </c>
      <c r="F16" s="2">
        <v>6.0399999999999998E-6</v>
      </c>
      <c r="G16" s="2">
        <v>2.3926034000000003E-4</v>
      </c>
      <c r="H16" s="13">
        <v>0.71026086034000002</v>
      </c>
      <c r="I16" s="14">
        <v>1.208E-5</v>
      </c>
      <c r="J16" s="2">
        <v>5.8473800000000001E-4</v>
      </c>
      <c r="K16" s="2">
        <v>2.7499999999999999E-6</v>
      </c>
      <c r="L16" s="2">
        <v>2.4924579999999999E-4</v>
      </c>
      <c r="M16" s="2">
        <v>3.84E-7</v>
      </c>
      <c r="N16" s="2">
        <v>1.5646329999999999</v>
      </c>
      <c r="O16" s="2">
        <v>5.3700000000000004E-4</v>
      </c>
      <c r="P16" s="2">
        <v>12.08658</v>
      </c>
      <c r="Q16" s="2">
        <v>3.4200000000000001E-2</v>
      </c>
      <c r="R16" s="2">
        <v>1.3655319999999999E-4</v>
      </c>
      <c r="S16" s="2">
        <v>5.2200000000000004E-7</v>
      </c>
      <c r="T16" s="2">
        <v>6.860746E-3</v>
      </c>
      <c r="U16" s="2">
        <v>2.8700000000000001E-6</v>
      </c>
      <c r="V16" s="2">
        <v>0.1153684</v>
      </c>
      <c r="W16" s="2">
        <v>2.1100000000000001E-6</v>
      </c>
      <c r="X16" s="2">
        <v>8.327793E-2</v>
      </c>
      <c r="Y16" s="2">
        <v>9.4300000000000001E-7</v>
      </c>
      <c r="Z16" s="2">
        <v>0.72268549999999998</v>
      </c>
      <c r="AA16" s="2">
        <v>1.24E-5</v>
      </c>
      <c r="AB16" s="2">
        <v>7.0472199999999999E-3</v>
      </c>
      <c r="AC16" s="2">
        <v>1.1199999999999999E-5</v>
      </c>
      <c r="AD16" s="2">
        <v>3.0047049999999999E-3</v>
      </c>
      <c r="AE16" s="2">
        <v>1.22E-5</v>
      </c>
    </row>
    <row r="17" spans="1:31" s="1" customFormat="1" x14ac:dyDescent="0.25">
      <c r="A17" s="8" t="s">
        <v>80</v>
      </c>
      <c r="B17" s="1" t="s">
        <v>89</v>
      </c>
      <c r="C17" s="1" t="s">
        <v>66</v>
      </c>
      <c r="D17" s="1" t="s">
        <v>96</v>
      </c>
      <c r="E17" s="2">
        <v>0.71003360000000004</v>
      </c>
      <c r="F17" s="2">
        <v>6.2600000000000002E-6</v>
      </c>
      <c r="G17" s="2">
        <v>2.0712789000000006E-4</v>
      </c>
      <c r="H17" s="13">
        <v>0.71024072789000003</v>
      </c>
      <c r="I17" s="14">
        <v>1.252E-5</v>
      </c>
      <c r="J17" s="2">
        <v>6.3128960000000003E-4</v>
      </c>
      <c r="K17" s="2">
        <v>1.86E-6</v>
      </c>
      <c r="L17" s="2">
        <v>2.464961E-4</v>
      </c>
      <c r="M17" s="2">
        <v>4.27E-7</v>
      </c>
      <c r="N17" s="2">
        <v>1.5653919999999999</v>
      </c>
      <c r="O17" s="2">
        <v>5.1000000000000004E-4</v>
      </c>
      <c r="P17" s="2">
        <v>12.284979999999999</v>
      </c>
      <c r="Q17" s="2">
        <v>4.4200000000000003E-2</v>
      </c>
      <c r="R17" s="2">
        <v>1.46386E-4</v>
      </c>
      <c r="S17" s="2">
        <v>4.4499999999999997E-7</v>
      </c>
      <c r="T17" s="2">
        <v>6.9071059999999997E-3</v>
      </c>
      <c r="U17" s="2">
        <v>1.8899999999999999E-6</v>
      </c>
      <c r="V17" s="2">
        <v>0.11538030000000001</v>
      </c>
      <c r="W17" s="2">
        <v>1.5200000000000001E-6</v>
      </c>
      <c r="X17" s="2">
        <v>8.3278199999999997E-2</v>
      </c>
      <c r="Y17" s="2">
        <v>9.8200000000000008E-7</v>
      </c>
      <c r="Z17" s="2">
        <v>0.72261699999999995</v>
      </c>
      <c r="AA17" s="2">
        <v>7.52E-6</v>
      </c>
      <c r="AB17" s="2">
        <v>7.706549E-3</v>
      </c>
      <c r="AC17" s="2">
        <v>3.3399999999999999E-5</v>
      </c>
      <c r="AD17" s="2">
        <v>3.0125170000000001E-3</v>
      </c>
      <c r="AE17" s="2">
        <v>1.66E-5</v>
      </c>
    </row>
    <row r="18" spans="1:31" s="1" customFormat="1" x14ac:dyDescent="0.25">
      <c r="A18" s="8" t="s">
        <v>80</v>
      </c>
      <c r="B18" s="1" t="s">
        <v>89</v>
      </c>
      <c r="C18" s="1" t="s">
        <v>66</v>
      </c>
      <c r="D18" s="1" t="s">
        <v>97</v>
      </c>
      <c r="E18" s="2">
        <v>0.71005370000000001</v>
      </c>
      <c r="F18" s="2">
        <v>7.17E-6</v>
      </c>
      <c r="G18" s="2">
        <v>1.9044024000000007E-4</v>
      </c>
      <c r="H18" s="13">
        <v>0.71024414024000004</v>
      </c>
      <c r="I18" s="14">
        <v>1.434E-5</v>
      </c>
      <c r="J18" s="2">
        <v>6.736814E-4</v>
      </c>
      <c r="K18" s="2">
        <v>2.74E-6</v>
      </c>
      <c r="L18" s="2">
        <v>2.377224E-4</v>
      </c>
      <c r="M18" s="2">
        <v>2.8599999999999999E-7</v>
      </c>
      <c r="N18" s="2">
        <v>1.573396</v>
      </c>
      <c r="O18" s="2">
        <v>4.64E-4</v>
      </c>
      <c r="P18" s="2">
        <v>12.53537</v>
      </c>
      <c r="Q18" s="2">
        <v>2.3400000000000001E-2</v>
      </c>
      <c r="R18" s="2">
        <v>1.5382659999999999E-4</v>
      </c>
      <c r="S18" s="2">
        <v>6.2399999999999998E-7</v>
      </c>
      <c r="T18" s="2">
        <v>6.9471969999999996E-3</v>
      </c>
      <c r="U18" s="2">
        <v>2.8100000000000002E-6</v>
      </c>
      <c r="V18" s="2">
        <v>0.11537310000000001</v>
      </c>
      <c r="W18" s="2">
        <v>1.7400000000000001E-6</v>
      </c>
      <c r="X18" s="2">
        <v>8.3273379999999994E-2</v>
      </c>
      <c r="Y18" s="2">
        <v>9.9699999999999994E-7</v>
      </c>
      <c r="Z18" s="2">
        <v>0.72258979999999995</v>
      </c>
      <c r="AA18" s="2">
        <v>1.0499999999999999E-5</v>
      </c>
      <c r="AB18" s="2">
        <v>8.4275779999999998E-3</v>
      </c>
      <c r="AC18" s="2">
        <v>1.7099999999999999E-5</v>
      </c>
      <c r="AD18" s="2">
        <v>2.9769750000000002E-3</v>
      </c>
      <c r="AE18" s="2">
        <v>6.9099999999999999E-6</v>
      </c>
    </row>
    <row r="19" spans="1:31" s="1" customFormat="1" x14ac:dyDescent="0.25">
      <c r="A19" s="8" t="s">
        <v>80</v>
      </c>
      <c r="B19" s="1" t="s">
        <v>89</v>
      </c>
      <c r="C19" s="1" t="s">
        <v>66</v>
      </c>
      <c r="D19" s="1" t="s">
        <v>98</v>
      </c>
      <c r="E19" s="2">
        <v>0.71009449999999996</v>
      </c>
      <c r="F19" s="2">
        <v>6.3099999999999997E-6</v>
      </c>
      <c r="G19" s="2">
        <v>1.6890550999999971E-4</v>
      </c>
      <c r="H19" s="13">
        <v>0.71026340551</v>
      </c>
      <c r="I19" s="14">
        <v>1.2619999999999999E-5</v>
      </c>
      <c r="J19" s="2">
        <v>6.3997749999999997E-4</v>
      </c>
      <c r="K19" s="2">
        <v>2.2699999999999999E-6</v>
      </c>
      <c r="L19" s="2">
        <v>2.2994500000000001E-4</v>
      </c>
      <c r="M19" s="2">
        <v>2.48E-7</v>
      </c>
      <c r="N19" s="2">
        <v>1.561936</v>
      </c>
      <c r="O19" s="2">
        <v>4.1599999999999997E-4</v>
      </c>
      <c r="P19" s="2">
        <v>12.56889</v>
      </c>
      <c r="Q19" s="2">
        <v>2.2100000000000002E-2</v>
      </c>
      <c r="R19" s="2">
        <v>1.466699E-4</v>
      </c>
      <c r="S19" s="2">
        <v>4.4499999999999997E-7</v>
      </c>
      <c r="T19" s="2">
        <v>6.9167500000000002E-3</v>
      </c>
      <c r="U19" s="2">
        <v>2.3499999999999999E-6</v>
      </c>
      <c r="V19" s="2">
        <v>0.115393</v>
      </c>
      <c r="W19" s="2">
        <v>1.7E-6</v>
      </c>
      <c r="X19" s="2">
        <v>8.3288730000000005E-2</v>
      </c>
      <c r="Y19" s="2">
        <v>7.9100000000000003E-7</v>
      </c>
      <c r="Z19" s="2">
        <v>0.72256929999999997</v>
      </c>
      <c r="AA19" s="2">
        <v>1.08E-5</v>
      </c>
      <c r="AB19" s="2">
        <v>8.0670020000000002E-3</v>
      </c>
      <c r="AC19" s="2">
        <v>2.12E-5</v>
      </c>
      <c r="AD19" s="2">
        <v>2.8861469999999999E-3</v>
      </c>
      <c r="AE19" s="2">
        <v>6.4799999999999998E-6</v>
      </c>
    </row>
    <row r="20" spans="1:31" s="1" customFormat="1" x14ac:dyDescent="0.25">
      <c r="A20" s="8" t="s">
        <v>80</v>
      </c>
      <c r="B20" s="1" t="s">
        <v>89</v>
      </c>
      <c r="C20" s="1" t="s">
        <v>66</v>
      </c>
      <c r="D20" s="1" t="s">
        <v>99</v>
      </c>
      <c r="E20" s="2">
        <v>0.71009909999999998</v>
      </c>
      <c r="F20" s="2">
        <v>7.3300000000000001E-6</v>
      </c>
      <c r="G20" s="2">
        <v>1.4297645999999942E-4</v>
      </c>
      <c r="H20" s="13">
        <v>0.71024207645999993</v>
      </c>
      <c r="I20" s="14">
        <v>1.466E-5</v>
      </c>
      <c r="J20" s="2">
        <v>5.9650399999999998E-4</v>
      </c>
      <c r="K20" s="2">
        <v>8.1500000000000003E-7</v>
      </c>
      <c r="L20" s="2">
        <v>2.2666130000000001E-4</v>
      </c>
      <c r="M20" s="2">
        <v>3.5999999999999999E-7</v>
      </c>
      <c r="N20" s="2">
        <v>1.5520320000000001</v>
      </c>
      <c r="O20" s="2">
        <v>4.1899999999999999E-4</v>
      </c>
      <c r="P20" s="2">
        <v>13.10005</v>
      </c>
      <c r="Q20" s="2">
        <v>1.6899999999999998E-2</v>
      </c>
      <c r="R20" s="2">
        <v>1.3766829999999999E-4</v>
      </c>
      <c r="S20" s="2">
        <v>2.3099999999999999E-7</v>
      </c>
      <c r="T20" s="2">
        <v>6.8761680000000002E-3</v>
      </c>
      <c r="U20" s="2">
        <v>8.6799999999999999E-7</v>
      </c>
      <c r="V20" s="2">
        <v>0.1154063</v>
      </c>
      <c r="W20" s="2">
        <v>1.3200000000000001E-6</v>
      </c>
      <c r="X20" s="2">
        <v>8.3299120000000004E-2</v>
      </c>
      <c r="Y20" s="2">
        <v>8.7899999999999997E-7</v>
      </c>
      <c r="Z20" s="2">
        <v>0.7225665</v>
      </c>
      <c r="AA20" s="2">
        <v>9.3000000000000007E-6</v>
      </c>
      <c r="AB20" s="2">
        <v>7.8418450000000001E-3</v>
      </c>
      <c r="AC20" s="2">
        <v>1.29E-5</v>
      </c>
      <c r="AD20" s="2">
        <v>2.9702249999999999E-3</v>
      </c>
      <c r="AE20" s="2">
        <v>4.6600000000000003E-6</v>
      </c>
    </row>
    <row r="21" spans="1:31" s="1" customFormat="1" x14ac:dyDescent="0.25">
      <c r="A21" s="8" t="s">
        <v>80</v>
      </c>
      <c r="B21" s="1" t="s">
        <v>89</v>
      </c>
      <c r="C21" s="1" t="s">
        <v>66</v>
      </c>
      <c r="D21" s="1" t="s">
        <v>100</v>
      </c>
      <c r="E21" s="2">
        <v>0.71012090000000005</v>
      </c>
      <c r="F21" s="2">
        <v>8.2600000000000005E-6</v>
      </c>
      <c r="G21" s="2">
        <v>1.3385048999999959E-4</v>
      </c>
      <c r="H21" s="13">
        <v>0.71025475049000009</v>
      </c>
      <c r="I21" s="14">
        <v>1.6520000000000001E-5</v>
      </c>
      <c r="J21" s="2">
        <v>6.7380249999999999E-4</v>
      </c>
      <c r="K21" s="2">
        <v>1.9E-6</v>
      </c>
      <c r="L21" s="2">
        <v>2.2199820000000001E-4</v>
      </c>
      <c r="M21" s="2">
        <v>2.2600000000000001E-7</v>
      </c>
      <c r="N21" s="2">
        <v>1.5507120000000001</v>
      </c>
      <c r="O21" s="2">
        <v>3.5399999999999999E-4</v>
      </c>
      <c r="P21" s="2">
        <v>13.250019999999999</v>
      </c>
      <c r="Q21" s="2">
        <v>2.4799999999999999E-2</v>
      </c>
      <c r="R21" s="2">
        <v>1.5230589999999999E-4</v>
      </c>
      <c r="S21" s="2">
        <v>4.6100000000000001E-7</v>
      </c>
      <c r="T21" s="2">
        <v>6.9539420000000003E-3</v>
      </c>
      <c r="U21" s="2">
        <v>1.9099999999999999E-6</v>
      </c>
      <c r="V21" s="2">
        <v>0.1154338</v>
      </c>
      <c r="W21" s="2">
        <v>1.0100000000000001E-6</v>
      </c>
      <c r="X21" s="2">
        <v>8.3302230000000005E-2</v>
      </c>
      <c r="Y21" s="2">
        <v>9.1399999999999995E-7</v>
      </c>
      <c r="Z21" s="2">
        <v>0.72241460000000002</v>
      </c>
      <c r="AA21" s="2">
        <v>9.5000000000000005E-6</v>
      </c>
      <c r="AB21" s="2">
        <v>8.8785059999999996E-3</v>
      </c>
      <c r="AC21" s="2">
        <v>3.7100000000000001E-5</v>
      </c>
      <c r="AD21" s="2">
        <v>2.9430580000000001E-3</v>
      </c>
      <c r="AE21" s="2">
        <v>6.4699999999999999E-6</v>
      </c>
    </row>
    <row r="22" spans="1:31" x14ac:dyDescent="0.25">
      <c r="B22" s="15" t="s">
        <v>101</v>
      </c>
      <c r="C22" s="16"/>
      <c r="D22" s="16"/>
      <c r="E22" s="16"/>
      <c r="F22" s="16"/>
      <c r="G22" s="15" t="s">
        <v>102</v>
      </c>
      <c r="H22" s="17">
        <f>AVERAGE(H4:H21)</f>
        <v>0.71024915485020435</v>
      </c>
    </row>
    <row r="23" spans="1:31" x14ac:dyDescent="0.25">
      <c r="B23" s="15" t="s">
        <v>103</v>
      </c>
      <c r="C23" s="16"/>
      <c r="D23" s="16"/>
      <c r="E23" s="16"/>
      <c r="F23" s="16"/>
      <c r="G23" s="15" t="s">
        <v>104</v>
      </c>
      <c r="H23" s="17">
        <f>2*STDEV(H4:H21)</f>
        <v>1.5158520405690708E-5</v>
      </c>
    </row>
    <row r="24" spans="1:31" x14ac:dyDescent="0.25">
      <c r="B24" s="18" t="s">
        <v>105</v>
      </c>
      <c r="C24" s="16"/>
      <c r="D24" s="16"/>
      <c r="E24" s="16"/>
      <c r="F24" s="16"/>
      <c r="G24" s="16"/>
      <c r="H24" s="17">
        <v>0.71024900000000002</v>
      </c>
    </row>
    <row r="25" spans="1:31" x14ac:dyDescent="0.25">
      <c r="B25" s="15" t="s">
        <v>106</v>
      </c>
      <c r="C25" s="16"/>
      <c r="D25" s="16"/>
      <c r="E25" s="16"/>
      <c r="F25" s="16"/>
      <c r="G25" s="16"/>
      <c r="H25" s="19">
        <f>(ABS(H24-H22)/AVERAGE(H22,H24))*1000</f>
        <v>2.1802239418205734E-4</v>
      </c>
    </row>
    <row r="26" spans="1:31" x14ac:dyDescent="0.25">
      <c r="B26" s="20"/>
    </row>
    <row r="27" spans="1:31" s="1" customFormat="1" x14ac:dyDescent="0.25">
      <c r="A27" s="8" t="s">
        <v>107</v>
      </c>
      <c r="B27" s="1" t="s">
        <v>108</v>
      </c>
      <c r="C27" s="1" t="s">
        <v>23</v>
      </c>
      <c r="D27" s="1" t="s">
        <v>109</v>
      </c>
      <c r="E27" s="2">
        <v>0.70910620000000002</v>
      </c>
      <c r="F27" s="2">
        <v>7.0899999999999999E-6</v>
      </c>
      <c r="G27" s="2">
        <v>6.3585709999999991E-5</v>
      </c>
      <c r="H27" s="13">
        <v>0.70916978571</v>
      </c>
      <c r="I27" s="14">
        <v>1.418E-5</v>
      </c>
      <c r="J27" s="2">
        <v>1.0810850000000001E-3</v>
      </c>
      <c r="K27" s="2">
        <v>4.6600000000000003E-6</v>
      </c>
      <c r="L27" s="2">
        <v>7.6291869999999998E-5</v>
      </c>
      <c r="M27" s="2">
        <v>1.92E-7</v>
      </c>
      <c r="N27" s="2">
        <v>1.4858420000000001</v>
      </c>
      <c r="O27" s="2">
        <v>5.4299999999999997E-4</v>
      </c>
      <c r="P27" s="2">
        <v>12.30414</v>
      </c>
      <c r="Q27" s="2">
        <v>3.0700000000000002E-2</v>
      </c>
      <c r="R27" s="2">
        <v>2.2981450000000001E-4</v>
      </c>
      <c r="S27" s="2">
        <v>9.7699999999999992E-7</v>
      </c>
      <c r="T27" s="2">
        <v>7.3801930000000002E-3</v>
      </c>
      <c r="U27" s="2">
        <v>4.7400000000000004E-6</v>
      </c>
      <c r="V27" s="2">
        <v>0.1157313</v>
      </c>
      <c r="W27" s="2">
        <v>2.2000000000000001E-6</v>
      </c>
      <c r="X27" s="2">
        <v>8.3244769999999996E-2</v>
      </c>
      <c r="Y27" s="2">
        <v>8.8100000000000001E-7</v>
      </c>
      <c r="Z27" s="2">
        <v>0.71954209999999996</v>
      </c>
      <c r="AA27" s="2">
        <v>1.59E-5</v>
      </c>
      <c r="AB27" s="2">
        <v>1.3287409999999999E-2</v>
      </c>
      <c r="AC27" s="2">
        <v>3.43E-5</v>
      </c>
      <c r="AD27" s="2">
        <v>9.3419330000000004E-4</v>
      </c>
      <c r="AE27" s="2">
        <v>1.95E-6</v>
      </c>
    </row>
    <row r="28" spans="1:31" s="1" customFormat="1" x14ac:dyDescent="0.25">
      <c r="A28" s="8" t="s">
        <v>107</v>
      </c>
      <c r="B28" s="1" t="s">
        <v>108</v>
      </c>
      <c r="C28" s="1" t="s">
        <v>23</v>
      </c>
      <c r="D28" s="1" t="s">
        <v>110</v>
      </c>
      <c r="E28" s="2">
        <v>0.70914869999999997</v>
      </c>
      <c r="F28" s="2">
        <v>5.9100000000000002E-6</v>
      </c>
      <c r="G28" s="2">
        <v>1.1536281354580821E-5</v>
      </c>
      <c r="H28" s="13">
        <v>0.70916023628135449</v>
      </c>
      <c r="I28" s="14">
        <v>1.182E-5</v>
      </c>
      <c r="J28" s="2">
        <v>1.054639E-3</v>
      </c>
      <c r="K28" s="2">
        <v>4.1500000000000001E-6</v>
      </c>
      <c r="L28" s="2">
        <v>7.4344020000000007E-5</v>
      </c>
      <c r="M28" s="2">
        <v>2.1400000000000001E-7</v>
      </c>
      <c r="N28" s="2">
        <v>1.4959560000000001</v>
      </c>
      <c r="O28" s="2">
        <v>4.9200000000000003E-4</v>
      </c>
      <c r="P28" s="2">
        <v>12.704969999999999</v>
      </c>
      <c r="Q28" s="2">
        <v>2.6100000000000002E-2</v>
      </c>
      <c r="R28" s="2">
        <v>2.238594E-4</v>
      </c>
      <c r="S28" s="2">
        <v>8.9100000000000002E-7</v>
      </c>
      <c r="T28" s="2">
        <v>7.3506930000000002E-3</v>
      </c>
      <c r="U28" s="2">
        <v>4.0999999999999997E-6</v>
      </c>
      <c r="V28" s="2">
        <v>0.1156971</v>
      </c>
      <c r="W28" s="2">
        <v>1.2500000000000001E-6</v>
      </c>
      <c r="X28" s="2">
        <v>8.3240069999999999E-2</v>
      </c>
      <c r="Y28" s="2">
        <v>7.8299999999999996E-7</v>
      </c>
      <c r="Z28" s="2">
        <v>0.7197173</v>
      </c>
      <c r="AA28" s="2">
        <v>8.9299999999999992E-6</v>
      </c>
      <c r="AB28" s="2">
        <v>1.3404849999999999E-2</v>
      </c>
      <c r="AC28" s="2">
        <v>4.3000000000000002E-5</v>
      </c>
      <c r="AD28" s="2">
        <v>9.4498559999999995E-4</v>
      </c>
      <c r="AE28" s="2">
        <v>2.26E-6</v>
      </c>
    </row>
    <row r="29" spans="1:31" s="1" customFormat="1" x14ac:dyDescent="0.25">
      <c r="A29" s="8" t="s">
        <v>107</v>
      </c>
      <c r="B29" s="1" t="s">
        <v>108</v>
      </c>
      <c r="C29" s="1" t="s">
        <v>23</v>
      </c>
      <c r="D29" s="1" t="s">
        <v>111</v>
      </c>
      <c r="E29" s="2">
        <v>0.70916630000000003</v>
      </c>
      <c r="F29" s="2">
        <v>6.8700000000000003E-6</v>
      </c>
      <c r="G29" s="2">
        <v>2.6806944706601372E-5</v>
      </c>
      <c r="H29" s="13">
        <v>0.70919310694470661</v>
      </c>
      <c r="I29" s="14">
        <v>1.3740000000000001E-5</v>
      </c>
      <c r="J29" s="2">
        <v>9.9048889999999996E-4</v>
      </c>
      <c r="K29" s="2">
        <v>1.8700000000000001E-6</v>
      </c>
      <c r="L29" s="2">
        <v>7.5514949999999994E-5</v>
      </c>
      <c r="M29" s="2">
        <v>2.34E-7</v>
      </c>
      <c r="N29" s="2">
        <v>1.503355</v>
      </c>
      <c r="O29" s="2">
        <v>6.4199999999999999E-4</v>
      </c>
      <c r="P29" s="2">
        <v>12.321109999999999</v>
      </c>
      <c r="Q29" s="2">
        <v>2.8899999999999999E-2</v>
      </c>
      <c r="R29" s="2">
        <v>2.102447E-4</v>
      </c>
      <c r="S29" s="2">
        <v>3.8200000000000001E-7</v>
      </c>
      <c r="T29" s="2">
        <v>7.2843910000000003E-3</v>
      </c>
      <c r="U29" s="2">
        <v>1.84E-6</v>
      </c>
      <c r="V29" s="2">
        <v>0.1156572</v>
      </c>
      <c r="W29" s="2">
        <v>1.5799999999999999E-6</v>
      </c>
      <c r="X29" s="2">
        <v>8.323527E-2</v>
      </c>
      <c r="Y29" s="2">
        <v>9.9999999999999995E-7</v>
      </c>
      <c r="Z29" s="2">
        <v>0.71992659999999997</v>
      </c>
      <c r="AA29" s="2">
        <v>9.02E-6</v>
      </c>
      <c r="AB29" s="2">
        <v>1.213992E-2</v>
      </c>
      <c r="AC29" s="2">
        <v>3.8500000000000001E-5</v>
      </c>
      <c r="AD29" s="2">
        <v>9.2800960000000003E-4</v>
      </c>
      <c r="AE29" s="2">
        <v>4.7999999999999998E-6</v>
      </c>
    </row>
    <row r="30" spans="1:31" s="1" customFormat="1" x14ac:dyDescent="0.25">
      <c r="A30" s="8" t="s">
        <v>107</v>
      </c>
      <c r="B30" s="1" t="s">
        <v>112</v>
      </c>
      <c r="C30" s="1" t="s">
        <v>23</v>
      </c>
      <c r="D30" s="1" t="s">
        <v>113</v>
      </c>
      <c r="E30" s="2">
        <v>0.7091035</v>
      </c>
      <c r="F30" s="2">
        <v>6.64E-6</v>
      </c>
      <c r="G30" s="2">
        <v>7.5500000000000006E-5</v>
      </c>
      <c r="H30" s="13">
        <v>0.709179</v>
      </c>
      <c r="I30" s="14">
        <v>1.328E-5</v>
      </c>
      <c r="J30" s="2">
        <v>9.7528380000000002E-4</v>
      </c>
      <c r="K30" s="2">
        <v>6.19E-6</v>
      </c>
      <c r="L30" s="2">
        <v>7.2570229999999994E-5</v>
      </c>
      <c r="M30" s="2">
        <v>2.1E-7</v>
      </c>
      <c r="N30" s="2">
        <v>1.4499200000000001</v>
      </c>
      <c r="O30" s="2">
        <v>9.9599999999999992E-4</v>
      </c>
      <c r="P30" s="2">
        <v>11.629339999999999</v>
      </c>
      <c r="Q30" s="2">
        <v>4.3900000000000002E-2</v>
      </c>
      <c r="R30" s="2">
        <v>2.145676E-4</v>
      </c>
      <c r="S30" s="2">
        <v>1.4699999999999999E-6</v>
      </c>
      <c r="T30" s="2">
        <v>7.2850110000000001E-3</v>
      </c>
      <c r="U30" s="2">
        <v>6.4500000000000001E-6</v>
      </c>
      <c r="V30" s="2">
        <v>0.1157926</v>
      </c>
      <c r="W30" s="2">
        <v>4.0799999999999999E-6</v>
      </c>
      <c r="X30" s="2">
        <v>8.3279880000000001E-2</v>
      </c>
      <c r="Y30" s="2">
        <v>1.19E-6</v>
      </c>
      <c r="Z30" s="2">
        <v>0.71942839999999997</v>
      </c>
      <c r="AA30" s="2">
        <v>2.12E-5</v>
      </c>
      <c r="AB30" s="2">
        <v>1.130773E-2</v>
      </c>
      <c r="AC30" s="2">
        <v>2.6699999999999998E-5</v>
      </c>
      <c r="AD30" s="2">
        <v>8.3935290000000001E-4</v>
      </c>
      <c r="AE30" s="2">
        <v>2.52E-6</v>
      </c>
    </row>
    <row r="31" spans="1:31" s="1" customFormat="1" x14ac:dyDescent="0.25">
      <c r="A31" s="8" t="s">
        <v>107</v>
      </c>
      <c r="B31" s="1" t="s">
        <v>114</v>
      </c>
      <c r="C31" s="1" t="s">
        <v>66</v>
      </c>
      <c r="D31" s="1" t="s">
        <v>115</v>
      </c>
      <c r="E31" s="2">
        <v>0.70874610000000005</v>
      </c>
      <c r="F31" s="2">
        <v>6.9700000000000002E-6</v>
      </c>
      <c r="G31" s="2">
        <v>4.5231593342070928E-4</v>
      </c>
      <c r="H31" s="13">
        <v>0.7091984159334207</v>
      </c>
      <c r="I31" s="14">
        <v>1.394E-5</v>
      </c>
      <c r="J31" s="2">
        <v>6.1752339999999995E-4</v>
      </c>
      <c r="K31" s="2">
        <v>2.0499999999999999E-6</v>
      </c>
      <c r="L31" s="2">
        <v>1.702431E-4</v>
      </c>
      <c r="M31" s="2">
        <v>1.06E-6</v>
      </c>
      <c r="N31" s="2">
        <v>1.4970909999999999</v>
      </c>
      <c r="O31" s="2">
        <v>7.0299999999999996E-4</v>
      </c>
      <c r="P31" s="2">
        <v>12.90343</v>
      </c>
      <c r="Q31" s="2">
        <v>2.9100000000000001E-2</v>
      </c>
      <c r="R31" s="2">
        <v>1.473255E-4</v>
      </c>
      <c r="S31" s="2">
        <v>4.4299999999999998E-7</v>
      </c>
      <c r="T31" s="2">
        <v>6.9134080000000002E-3</v>
      </c>
      <c r="U31" s="2">
        <v>2.21E-6</v>
      </c>
      <c r="V31" s="2">
        <v>0.1155583</v>
      </c>
      <c r="W31" s="2">
        <v>2.4200000000000001E-6</v>
      </c>
      <c r="X31" s="2">
        <v>8.3192730000000006E-2</v>
      </c>
      <c r="Y31" s="2">
        <v>1.1999999999999999E-6</v>
      </c>
      <c r="Z31" s="2">
        <v>0.72049629999999998</v>
      </c>
      <c r="AA31" s="2">
        <v>1.19E-5</v>
      </c>
      <c r="AB31" s="2">
        <v>7.9698649999999996E-3</v>
      </c>
      <c r="AC31" s="2">
        <v>1.0499999999999999E-5</v>
      </c>
      <c r="AD31" s="2">
        <v>2.193225E-3</v>
      </c>
      <c r="AE31" s="2">
        <v>1.7399999999999999E-5</v>
      </c>
    </row>
    <row r="32" spans="1:31" s="1" customFormat="1" x14ac:dyDescent="0.25">
      <c r="A32" s="8" t="s">
        <v>107</v>
      </c>
      <c r="B32" s="1" t="s">
        <v>116</v>
      </c>
      <c r="C32" s="1" t="s">
        <v>66</v>
      </c>
      <c r="D32" s="1" t="s">
        <v>117</v>
      </c>
      <c r="E32" s="2">
        <v>0.70886400000000005</v>
      </c>
      <c r="F32" s="2">
        <v>6.3400000000000003E-6</v>
      </c>
      <c r="G32" s="2">
        <v>3.0964003999999997E-4</v>
      </c>
      <c r="H32" s="13">
        <v>0.70917364004000005</v>
      </c>
      <c r="I32" s="14">
        <v>1.2680000000000001E-5</v>
      </c>
      <c r="J32" s="2">
        <v>6.070979E-4</v>
      </c>
      <c r="K32" s="2">
        <v>1.3400000000000001E-6</v>
      </c>
      <c r="L32" s="2">
        <v>1.5266100000000001E-4</v>
      </c>
      <c r="M32" s="2">
        <v>4.7300000000000001E-7</v>
      </c>
      <c r="N32" s="2">
        <v>1.5022850000000001</v>
      </c>
      <c r="O32" s="2">
        <v>3.8900000000000002E-4</v>
      </c>
      <c r="P32" s="2">
        <v>14.743740000000001</v>
      </c>
      <c r="Q32" s="2">
        <v>2.3900000000000001E-2</v>
      </c>
      <c r="R32" s="2">
        <v>1.408472E-4</v>
      </c>
      <c r="S32" s="2">
        <v>3.1100000000000002E-7</v>
      </c>
      <c r="T32" s="2">
        <v>6.9013219999999997E-3</v>
      </c>
      <c r="U32" s="2">
        <v>1.31E-6</v>
      </c>
      <c r="V32" s="2">
        <v>0.1155398</v>
      </c>
      <c r="W32" s="2">
        <v>9.8200000000000008E-7</v>
      </c>
      <c r="X32" s="2">
        <v>8.3200609999999994E-2</v>
      </c>
      <c r="Y32" s="2">
        <v>8.6600000000000005E-7</v>
      </c>
      <c r="Z32" s="2">
        <v>0.72062170000000003</v>
      </c>
      <c r="AA32" s="2">
        <v>8.2099999999999993E-6</v>
      </c>
      <c r="AB32" s="2">
        <v>8.9350750000000007E-3</v>
      </c>
      <c r="AC32" s="2">
        <v>2.4499999999999999E-5</v>
      </c>
      <c r="AD32" s="2">
        <v>2.2539330000000001E-3</v>
      </c>
      <c r="AE32" s="2">
        <v>8.3699999999999995E-6</v>
      </c>
    </row>
    <row r="33" spans="1:31" s="1" customFormat="1" x14ac:dyDescent="0.25">
      <c r="A33" s="8" t="s">
        <v>107</v>
      </c>
      <c r="B33" s="1" t="s">
        <v>114</v>
      </c>
      <c r="C33" s="1" t="s">
        <v>66</v>
      </c>
      <c r="D33" s="1" t="s">
        <v>118</v>
      </c>
      <c r="E33" s="2">
        <v>0.70896190000000003</v>
      </c>
      <c r="F33" s="2">
        <v>6.4500000000000001E-6</v>
      </c>
      <c r="G33" s="2">
        <v>2.0449625999999991E-4</v>
      </c>
      <c r="H33" s="13">
        <v>0.70916639626</v>
      </c>
      <c r="I33" s="14">
        <v>1.29E-5</v>
      </c>
      <c r="J33" s="2">
        <v>6.0842209999999999E-4</v>
      </c>
      <c r="K33" s="2">
        <v>2.4700000000000001E-6</v>
      </c>
      <c r="L33" s="2">
        <v>1.069531E-4</v>
      </c>
      <c r="M33" s="2">
        <v>2.34E-7</v>
      </c>
      <c r="N33" s="2">
        <v>1.577696</v>
      </c>
      <c r="O33" s="2">
        <v>4.8299999999999998E-4</v>
      </c>
      <c r="P33" s="2">
        <v>12.206049999999999</v>
      </c>
      <c r="Q33" s="2">
        <v>1.4500000000000001E-2</v>
      </c>
      <c r="R33" s="2">
        <v>1.4144339999999999E-4</v>
      </c>
      <c r="S33" s="2">
        <v>6.0500000000000003E-7</v>
      </c>
      <c r="T33" s="2">
        <v>6.8806279999999997E-3</v>
      </c>
      <c r="U33" s="2">
        <v>2.5399999999999998E-6</v>
      </c>
      <c r="V33" s="2">
        <v>0.115342</v>
      </c>
      <c r="W33" s="2">
        <v>1.8199999999999999E-6</v>
      </c>
      <c r="X33" s="2">
        <v>8.3141400000000004E-2</v>
      </c>
      <c r="Y33" s="2">
        <v>8.4799999999999997E-7</v>
      </c>
      <c r="Z33" s="2">
        <v>0.72118590000000005</v>
      </c>
      <c r="AA33" s="2">
        <v>1.0499999999999999E-5</v>
      </c>
      <c r="AB33" s="2">
        <v>7.444712E-3</v>
      </c>
      <c r="AC33" s="2">
        <v>2.3900000000000002E-5</v>
      </c>
      <c r="AD33" s="2">
        <v>1.3049240000000001E-3</v>
      </c>
      <c r="AE33" s="2">
        <v>3.2200000000000001E-6</v>
      </c>
    </row>
    <row r="34" spans="1:31" s="1" customFormat="1" x14ac:dyDescent="0.25">
      <c r="A34" s="8" t="s">
        <v>107</v>
      </c>
      <c r="B34" s="1" t="s">
        <v>116</v>
      </c>
      <c r="C34" s="1" t="s">
        <v>66</v>
      </c>
      <c r="D34" s="1" t="s">
        <v>119</v>
      </c>
      <c r="E34" s="2">
        <v>0.70901080000000005</v>
      </c>
      <c r="F34" s="2">
        <v>7.1999999999999997E-6</v>
      </c>
      <c r="G34" s="2">
        <v>1.8787469000000005E-4</v>
      </c>
      <c r="H34" s="13">
        <v>0.70919867469000009</v>
      </c>
      <c r="I34" s="14">
        <v>1.4399999999999999E-5</v>
      </c>
      <c r="J34" s="2">
        <v>5.397151E-4</v>
      </c>
      <c r="K34" s="2">
        <v>1.19E-6</v>
      </c>
      <c r="L34" s="2">
        <v>1.1118509999999999E-4</v>
      </c>
      <c r="M34" s="2">
        <v>2.2499999999999999E-7</v>
      </c>
      <c r="N34" s="2">
        <v>1.5793889999999999</v>
      </c>
      <c r="O34" s="2">
        <v>4.6299999999999998E-4</v>
      </c>
      <c r="P34" s="2">
        <v>14.00451</v>
      </c>
      <c r="Q34" s="2">
        <v>1.9E-2</v>
      </c>
      <c r="R34" s="2">
        <v>1.242576E-4</v>
      </c>
      <c r="S34" s="2">
        <v>2.5400000000000002E-7</v>
      </c>
      <c r="T34" s="2">
        <v>6.811414E-3</v>
      </c>
      <c r="U34" s="2">
        <v>1.1400000000000001E-6</v>
      </c>
      <c r="V34" s="2">
        <v>0.11531520000000001</v>
      </c>
      <c r="W34" s="2">
        <v>9.3699999999999999E-7</v>
      </c>
      <c r="X34" s="2">
        <v>8.3144889999999999E-2</v>
      </c>
      <c r="Y34" s="2">
        <v>7.61E-7</v>
      </c>
      <c r="Z34" s="2">
        <v>0.72140470000000001</v>
      </c>
      <c r="AA34" s="2">
        <v>8.0099999999999995E-6</v>
      </c>
      <c r="AB34" s="2">
        <v>7.5399029999999997E-3</v>
      </c>
      <c r="AC34" s="2">
        <v>2.1699999999999999E-5</v>
      </c>
      <c r="AD34" s="2">
        <v>1.557501E-3</v>
      </c>
      <c r="AE34" s="2">
        <v>4.5499999999999996E-6</v>
      </c>
    </row>
    <row r="35" spans="1:31" s="1" customFormat="1" x14ac:dyDescent="0.25">
      <c r="A35" s="8" t="s">
        <v>107</v>
      </c>
      <c r="B35" s="1" t="s">
        <v>114</v>
      </c>
      <c r="C35" s="1" t="s">
        <v>66</v>
      </c>
      <c r="D35" s="1" t="s">
        <v>120</v>
      </c>
      <c r="E35" s="2">
        <v>0.70901349999999996</v>
      </c>
      <c r="F35" s="2">
        <v>5.7899999999999996E-6</v>
      </c>
      <c r="G35" s="2">
        <v>1.398903899999999E-4</v>
      </c>
      <c r="H35" s="13">
        <v>0.70915339038999992</v>
      </c>
      <c r="I35" s="14">
        <v>1.1579999999999999E-5</v>
      </c>
      <c r="J35" s="2">
        <v>6.7675400000000001E-4</v>
      </c>
      <c r="K35" s="2">
        <v>2.5399999999999998E-6</v>
      </c>
      <c r="L35" s="2">
        <v>9.0948910000000007E-5</v>
      </c>
      <c r="M35" s="2">
        <v>2.2499999999999999E-7</v>
      </c>
      <c r="N35" s="2">
        <v>1.5645720000000001</v>
      </c>
      <c r="O35" s="2">
        <v>3.3799999999999998E-4</v>
      </c>
      <c r="P35" s="2">
        <v>13.02333</v>
      </c>
      <c r="Q35" s="2">
        <v>1.23E-2</v>
      </c>
      <c r="R35" s="2">
        <v>1.526683E-4</v>
      </c>
      <c r="S35" s="2">
        <v>5.7199999999999999E-7</v>
      </c>
      <c r="T35" s="2">
        <v>6.9527310000000002E-3</v>
      </c>
      <c r="U35" s="2">
        <v>2.57E-6</v>
      </c>
      <c r="V35" s="2">
        <v>0.11539770000000001</v>
      </c>
      <c r="W35" s="2">
        <v>1.39E-6</v>
      </c>
      <c r="X35" s="2">
        <v>8.3159319999999995E-2</v>
      </c>
      <c r="Y35" s="2">
        <v>7.0299999999999998E-7</v>
      </c>
      <c r="Z35" s="2">
        <v>0.72094990000000003</v>
      </c>
      <c r="AA35" s="2">
        <v>9.2599999999999994E-6</v>
      </c>
      <c r="AB35" s="2">
        <v>8.8028189999999999E-3</v>
      </c>
      <c r="AC35" s="2">
        <v>2.6999999999999999E-5</v>
      </c>
      <c r="AD35" s="2">
        <v>1.1826300000000001E-3</v>
      </c>
      <c r="AE35" s="2">
        <v>2.8499999999999998E-6</v>
      </c>
    </row>
    <row r="36" spans="1:31" s="1" customFormat="1" x14ac:dyDescent="0.25">
      <c r="A36" s="8" t="s">
        <v>107</v>
      </c>
      <c r="B36" s="1" t="s">
        <v>116</v>
      </c>
      <c r="C36" s="1" t="s">
        <v>66</v>
      </c>
      <c r="D36" s="1" t="s">
        <v>121</v>
      </c>
      <c r="E36" s="2">
        <v>0.70903369999999999</v>
      </c>
      <c r="F36" s="2">
        <v>5.5099999999999998E-6</v>
      </c>
      <c r="G36" s="2">
        <v>1.3720904000000017E-4</v>
      </c>
      <c r="H36" s="13">
        <v>0.70917090904000002</v>
      </c>
      <c r="I36" s="14">
        <v>1.102E-5</v>
      </c>
      <c r="J36" s="2">
        <v>6.0364629999999999E-4</v>
      </c>
      <c r="K36" s="2">
        <v>1.6899999999999999E-6</v>
      </c>
      <c r="L36" s="2">
        <v>1.059087E-4</v>
      </c>
      <c r="M36" s="2">
        <v>1.7700000000000001E-7</v>
      </c>
      <c r="N36" s="2">
        <v>1.562057</v>
      </c>
      <c r="O36" s="2">
        <v>4.1899999999999999E-4</v>
      </c>
      <c r="P36" s="2">
        <v>14.4575</v>
      </c>
      <c r="Q36" s="2">
        <v>1.34E-2</v>
      </c>
      <c r="R36" s="2">
        <v>1.367614E-4</v>
      </c>
      <c r="S36" s="2">
        <v>3.6699999999999999E-7</v>
      </c>
      <c r="T36" s="2">
        <v>6.8805630000000001E-3</v>
      </c>
      <c r="U36" s="2">
        <v>1.6700000000000001E-6</v>
      </c>
      <c r="V36" s="2">
        <v>0.115382</v>
      </c>
      <c r="W36" s="2">
        <v>1.1200000000000001E-6</v>
      </c>
      <c r="X36" s="2">
        <v>8.3164600000000005E-2</v>
      </c>
      <c r="Y36" s="2">
        <v>6.7299999999999995E-7</v>
      </c>
      <c r="Z36" s="2">
        <v>0.72113870000000002</v>
      </c>
      <c r="AA36" s="2">
        <v>7.9200000000000004E-6</v>
      </c>
      <c r="AB36" s="2">
        <v>8.6511750000000005E-3</v>
      </c>
      <c r="AC36" s="2">
        <v>3.54E-5</v>
      </c>
      <c r="AD36" s="2">
        <v>1.5233740000000001E-3</v>
      </c>
      <c r="AE36" s="2">
        <v>4.7700000000000001E-6</v>
      </c>
    </row>
    <row r="37" spans="1:31" x14ac:dyDescent="0.25">
      <c r="B37" s="15" t="s">
        <v>122</v>
      </c>
      <c r="C37" s="16"/>
      <c r="D37" s="16"/>
      <c r="E37" s="16"/>
      <c r="F37" s="16"/>
      <c r="G37" s="15" t="s">
        <v>102</v>
      </c>
      <c r="H37" s="17">
        <f>AVERAGE(H27:H36)</f>
        <v>0.70917635552894809</v>
      </c>
    </row>
    <row r="38" spans="1:31" x14ac:dyDescent="0.25">
      <c r="B38" s="15" t="s">
        <v>123</v>
      </c>
      <c r="C38" s="16"/>
      <c r="D38" s="16"/>
      <c r="E38" s="16"/>
      <c r="F38" s="16"/>
      <c r="G38" s="15" t="s">
        <v>104</v>
      </c>
      <c r="H38" s="17">
        <f>2*STDEV(H27:H36)</f>
        <v>3.1545557768558598E-5</v>
      </c>
    </row>
    <row r="39" spans="1:31" x14ac:dyDescent="0.25">
      <c r="B39" s="18" t="s">
        <v>124</v>
      </c>
      <c r="C39" s="16"/>
      <c r="D39" s="16"/>
      <c r="E39" s="16"/>
      <c r="F39" s="16"/>
      <c r="G39" s="16"/>
      <c r="H39" s="17">
        <v>0.70918000000000003</v>
      </c>
    </row>
    <row r="40" spans="1:31" x14ac:dyDescent="0.25">
      <c r="B40" s="15" t="s">
        <v>106</v>
      </c>
      <c r="C40" s="16"/>
      <c r="D40" s="16"/>
      <c r="E40" s="16"/>
      <c r="F40" s="16"/>
      <c r="G40" s="16"/>
      <c r="H40" s="19">
        <f>(ABS(H39-H37)/AVERAGE(H37,H39))*1000</f>
        <v>5.139006199306532E-3</v>
      </c>
    </row>
    <row r="42" spans="1:31" s="1" customFormat="1" x14ac:dyDescent="0.25">
      <c r="A42" s="8" t="s">
        <v>125</v>
      </c>
      <c r="B42" s="1" t="s">
        <v>126</v>
      </c>
      <c r="C42" s="1" t="s">
        <v>23</v>
      </c>
      <c r="D42" s="1" t="s">
        <v>127</v>
      </c>
      <c r="E42" s="2">
        <v>0.70915139999999999</v>
      </c>
      <c r="F42" s="2">
        <v>5.6200000000000004E-6</v>
      </c>
      <c r="G42" s="2">
        <v>5.7885679999999999E-5</v>
      </c>
      <c r="H42" s="13">
        <v>0.70920928567999997</v>
      </c>
      <c r="I42" s="14">
        <v>1.1240000000000001E-5</v>
      </c>
      <c r="J42" s="2">
        <v>1.1771290000000001E-3</v>
      </c>
      <c r="K42" s="2">
        <v>3.8199999999999998E-6</v>
      </c>
      <c r="L42" s="2">
        <v>7.4685029999999996E-5</v>
      </c>
      <c r="M42" s="2">
        <v>2.1799999999999999E-7</v>
      </c>
      <c r="N42" s="2">
        <v>1.4761759999999999</v>
      </c>
      <c r="O42" s="2">
        <v>3.3E-4</v>
      </c>
      <c r="P42" s="2">
        <v>11.06681</v>
      </c>
      <c r="Q42" s="2">
        <v>1.6199999999999999E-2</v>
      </c>
      <c r="R42" s="2">
        <v>2.4808609999999999E-4</v>
      </c>
      <c r="S42" s="2">
        <v>8.3699999999999999E-7</v>
      </c>
      <c r="T42" s="2">
        <v>7.4790339999999999E-3</v>
      </c>
      <c r="U42" s="2">
        <v>3.8E-6</v>
      </c>
      <c r="V42" s="2">
        <v>0.1157879</v>
      </c>
      <c r="W42" s="2">
        <v>1.3400000000000001E-6</v>
      </c>
      <c r="X42" s="2">
        <v>8.3259319999999998E-2</v>
      </c>
      <c r="Y42" s="2">
        <v>7.3200000000000004E-7</v>
      </c>
      <c r="Z42" s="2">
        <v>0.71931699999999998</v>
      </c>
      <c r="AA42" s="2">
        <v>9.8099999999999992E-6</v>
      </c>
      <c r="AB42" s="2">
        <v>1.301046E-2</v>
      </c>
      <c r="AC42" s="2">
        <v>2.9799999999999999E-5</v>
      </c>
      <c r="AD42" s="2">
        <v>8.2561169999999999E-4</v>
      </c>
      <c r="AE42" s="2">
        <v>2.0899999999999999E-6</v>
      </c>
    </row>
    <row r="43" spans="1:31" s="1" customFormat="1" x14ac:dyDescent="0.25">
      <c r="A43" s="8" t="s">
        <v>125</v>
      </c>
      <c r="B43" s="1" t="s">
        <v>126</v>
      </c>
      <c r="C43" s="1" t="s">
        <v>23</v>
      </c>
      <c r="D43" s="1" t="s">
        <v>128</v>
      </c>
      <c r="E43" s="2">
        <v>0.70918190000000003</v>
      </c>
      <c r="F43" s="2">
        <v>8.0399999999999993E-6</v>
      </c>
      <c r="G43" s="2">
        <v>2.1550496845863502E-5</v>
      </c>
      <c r="H43" s="13">
        <v>0.70920345049684586</v>
      </c>
      <c r="I43" s="14">
        <v>1.6079999999999999E-5</v>
      </c>
      <c r="J43" s="2">
        <v>1.2181760000000001E-3</v>
      </c>
      <c r="K43" s="2">
        <v>5.7200000000000003E-6</v>
      </c>
      <c r="L43" s="2">
        <v>7.203388E-5</v>
      </c>
      <c r="M43" s="2">
        <v>2.8099999999999999E-7</v>
      </c>
      <c r="N43" s="2">
        <v>1.511565</v>
      </c>
      <c r="O43" s="2">
        <v>6.96E-4</v>
      </c>
      <c r="P43" s="2">
        <v>10.59482</v>
      </c>
      <c r="Q43" s="2">
        <v>4.8300000000000003E-2</v>
      </c>
      <c r="R43" s="2">
        <v>2.5642459999999998E-4</v>
      </c>
      <c r="S43" s="2">
        <v>1.3E-6</v>
      </c>
      <c r="T43" s="2">
        <v>7.5094819999999996E-3</v>
      </c>
      <c r="U43" s="2">
        <v>5.8200000000000002E-6</v>
      </c>
      <c r="V43" s="2">
        <v>0.11570709999999999</v>
      </c>
      <c r="W43" s="2">
        <v>3.2899999999999998E-6</v>
      </c>
      <c r="X43" s="2">
        <v>8.3229139999999993E-2</v>
      </c>
      <c r="Y43" s="2">
        <v>1.13E-6</v>
      </c>
      <c r="Z43" s="2">
        <v>0.71952709999999998</v>
      </c>
      <c r="AA43" s="2">
        <v>1.4100000000000001E-5</v>
      </c>
      <c r="AB43" s="2">
        <v>1.292753E-2</v>
      </c>
      <c r="AC43" s="2">
        <v>3.6399999999999997E-5</v>
      </c>
      <c r="AD43" s="2">
        <v>7.6173259999999998E-4</v>
      </c>
      <c r="AE43" s="2">
        <v>2.6000000000000001E-6</v>
      </c>
    </row>
    <row r="44" spans="1:31" x14ac:dyDescent="0.25">
      <c r="B44" s="15" t="s">
        <v>129</v>
      </c>
      <c r="C44" s="15"/>
      <c r="D44" s="15"/>
      <c r="E44" s="15"/>
      <c r="F44" s="15"/>
      <c r="G44" s="15" t="s">
        <v>102</v>
      </c>
      <c r="H44" s="17">
        <f>AVERAGE(H42:H43)</f>
        <v>0.70920636808842286</v>
      </c>
    </row>
    <row r="45" spans="1:31" x14ac:dyDescent="0.25">
      <c r="B45" s="15"/>
      <c r="C45" s="15"/>
      <c r="D45" s="15"/>
      <c r="E45" s="15"/>
      <c r="F45" s="15"/>
      <c r="G45" s="15" t="s">
        <v>104</v>
      </c>
      <c r="H45" s="17">
        <f>2*STDEV(H42:H43)</f>
        <v>8.2521951554770225E-6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QAQC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J Glessner</dc:creator>
  <cp:lastModifiedBy>Maitland, Bryan - FS, ID</cp:lastModifiedBy>
  <dcterms:created xsi:type="dcterms:W3CDTF">2026-06-30T20:02:01Z</dcterms:created>
  <dcterms:modified xsi:type="dcterms:W3CDTF">2026-07-02T15:18:51Z</dcterms:modified>
</cp:coreProperties>
</file>