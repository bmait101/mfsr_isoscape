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bryan_maitland_usda_gov/Documents/PROJECTS/mfsr_isoscape/data/ICPMS/"/>
    </mc:Choice>
  </mc:AlternateContent>
  <xr:revisionPtr revIDLastSave="46" documentId="8_{375E1CBD-2D45-C14D-AFB5-072EBFF41747}" xr6:coauthVersionLast="47" xr6:coauthVersionMax="47" xr10:uidLastSave="{F5F09244-4EC0-49E2-B7D8-99C814D7D5A7}"/>
  <bookViews>
    <workbookView xWindow="4770" yWindow="360" windowWidth="14940" windowHeight="14940" xr2:uid="{74B4154A-3E56-EF4A-B936-FF3B79126605}"/>
  </bookViews>
  <sheets>
    <sheet name="Samples" sheetId="1" r:id="rId1"/>
    <sheet name="QAQ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" i="2" l="1"/>
  <c r="H67" i="2"/>
  <c r="H62" i="2"/>
  <c r="H61" i="2"/>
  <c r="H57" i="2"/>
  <c r="H56" i="2"/>
  <c r="I48" i="2"/>
  <c r="H48" i="2"/>
  <c r="H51" i="2" s="1"/>
  <c r="H39" i="2"/>
  <c r="H38" i="2"/>
  <c r="H27" i="2"/>
  <c r="H28" i="2" s="1"/>
  <c r="H26" i="2"/>
  <c r="H40" i="2" l="1"/>
  <c r="H50" i="2"/>
  <c r="H52" i="2" s="1"/>
</calcChain>
</file>

<file path=xl/sharedStrings.xml><?xml version="1.0" encoding="utf-8"?>
<sst xmlns="http://schemas.openxmlformats.org/spreadsheetml/2006/main" count="390" uniqueCount="189">
  <si>
    <t>987 Norm</t>
  </si>
  <si>
    <t>Sample ID</t>
  </si>
  <si>
    <t>Run Info</t>
  </si>
  <si>
    <t>Date</t>
  </si>
  <si>
    <t>Year and Time</t>
  </si>
  <si>
    <t>87Sr/86Sr_Corr</t>
  </si>
  <si>
    <t>SE</t>
  </si>
  <si>
    <t>Corr Fact</t>
  </si>
  <si>
    <t>87/86</t>
  </si>
  <si>
    <t>2SE</t>
  </si>
  <si>
    <t>84Kr/88Sr</t>
  </si>
  <si>
    <t>85Rb/88Sr</t>
  </si>
  <si>
    <t>MB Exp</t>
  </si>
  <si>
    <t>88 (V)</t>
  </si>
  <si>
    <t>Raw 83/88</t>
  </si>
  <si>
    <t>Raw 84/88</t>
  </si>
  <si>
    <t>Raw 86/88</t>
  </si>
  <si>
    <t>Raw 87/88</t>
  </si>
  <si>
    <t>Raw 87/86</t>
  </si>
  <si>
    <t>Kr84</t>
  </si>
  <si>
    <t>Rb85</t>
  </si>
  <si>
    <t>'1' run on Thursday</t>
  </si>
  <si>
    <t xml:space="preserve"> May 01</t>
  </si>
  <si>
    <t xml:space="preserve"> 2025 at 19:13</t>
  </si>
  <si>
    <t>'2' run on Thursday</t>
  </si>
  <si>
    <t xml:space="preserve"> 2025 at 19:24</t>
  </si>
  <si>
    <t>'3' run on Thursday</t>
  </si>
  <si>
    <t xml:space="preserve"> 2025 at 19:35</t>
  </si>
  <si>
    <t>Pistol Creek @ MFSR confluence</t>
  </si>
  <si>
    <t>'4' run on Thursday</t>
  </si>
  <si>
    <t xml:space="preserve"> 2025 at 19:46</t>
  </si>
  <si>
    <t>'4 A Dup' run on Friday</t>
  </si>
  <si>
    <t xml:space="preserve"> May 02</t>
  </si>
  <si>
    <t xml:space="preserve"> 2025 at 01:59</t>
  </si>
  <si>
    <t>'5' run on Thursday</t>
  </si>
  <si>
    <t xml:space="preserve"> 2025 at 19:56</t>
  </si>
  <si>
    <t>'6' run on Thursday</t>
  </si>
  <si>
    <t xml:space="preserve"> 2025 at 20:28</t>
  </si>
  <si>
    <t>'7' run on Thursday</t>
  </si>
  <si>
    <t xml:space="preserve"> 2025 at 20:38</t>
  </si>
  <si>
    <t>'8' run on Thursday</t>
  </si>
  <si>
    <t xml:space="preserve"> 2025 at 20:49</t>
  </si>
  <si>
    <t>'9' run on Thursday</t>
  </si>
  <si>
    <t xml:space="preserve"> 2025 at 20:59</t>
  </si>
  <si>
    <t>'10' run on Thursday</t>
  </si>
  <si>
    <t xml:space="preserve"> 2025 at 21:10</t>
  </si>
  <si>
    <t>'11' run on Thursday</t>
  </si>
  <si>
    <t xml:space="preserve"> 2025 at 21:42</t>
  </si>
  <si>
    <t>'12' run on Thursday</t>
  </si>
  <si>
    <t xml:space="preserve"> 2025 at 21:53</t>
  </si>
  <si>
    <t>'13' run on Thursday</t>
  </si>
  <si>
    <t xml:space="preserve"> 2025 at 22:04</t>
  </si>
  <si>
    <t>'14' run on Thursday</t>
  </si>
  <si>
    <t xml:space="preserve"> 2025 at 22:14</t>
  </si>
  <si>
    <t>'15' run on Thursday</t>
  </si>
  <si>
    <t xml:space="preserve"> 2025 at 22:25</t>
  </si>
  <si>
    <t>'16' run on Thursday</t>
  </si>
  <si>
    <t xml:space="preserve"> 2025 at 22:57</t>
  </si>
  <si>
    <t>'17' run on Thursday</t>
  </si>
  <si>
    <t xml:space="preserve"> 2025 at 23:08</t>
  </si>
  <si>
    <t>'19' run on Thursday</t>
  </si>
  <si>
    <t xml:space="preserve"> 2025 at 23:19</t>
  </si>
  <si>
    <t>'20' run on Thursday</t>
  </si>
  <si>
    <t xml:space="preserve"> 2025 at 23:30</t>
  </si>
  <si>
    <t>'21' run on Thursday</t>
  </si>
  <si>
    <t xml:space="preserve"> 2025 at 23:40</t>
  </si>
  <si>
    <t>'22' run on Friday</t>
  </si>
  <si>
    <t xml:space="preserve"> 2025 at 00:11</t>
  </si>
  <si>
    <t>Marsh Creek below Beaver Creek</t>
  </si>
  <si>
    <t>'23' run on Friday</t>
  </si>
  <si>
    <t xml:space="preserve"> 2025 at 00:22</t>
  </si>
  <si>
    <t>'23 A Dup' run on Friday</t>
  </si>
  <si>
    <t xml:space="preserve"> 2025 at 02:10</t>
  </si>
  <si>
    <t>Cape Horn Creek</t>
  </si>
  <si>
    <t>'24' run on Friday</t>
  </si>
  <si>
    <t xml:space="preserve"> 2025 at 00:33</t>
  </si>
  <si>
    <t>'24 P Dup' run on Tuesday</t>
  </si>
  <si>
    <t xml:space="preserve"> May 06</t>
  </si>
  <si>
    <t xml:space="preserve"> 2025 at 23:26</t>
  </si>
  <si>
    <t>'25' run on Friday</t>
  </si>
  <si>
    <t xml:space="preserve"> 2025 at 00:44</t>
  </si>
  <si>
    <t>'26' run on Friday</t>
  </si>
  <si>
    <t xml:space="preserve"> 2025 at 00:55</t>
  </si>
  <si>
    <t>'27' run on Friday</t>
  </si>
  <si>
    <t xml:space="preserve"> 2025 at 01:28</t>
  </si>
  <si>
    <t>'28' run on Wednesday</t>
  </si>
  <si>
    <t xml:space="preserve"> May 07</t>
  </si>
  <si>
    <t xml:space="preserve"> 2025 at 12:24</t>
  </si>
  <si>
    <t>'29' run on Friday</t>
  </si>
  <si>
    <t xml:space="preserve"> 2025 at 01:49</t>
  </si>
  <si>
    <t>'30' run on Monday</t>
  </si>
  <si>
    <t xml:space="preserve"> May 12</t>
  </si>
  <si>
    <t xml:space="preserve"> 2025 at 17:45</t>
  </si>
  <si>
    <t>ID</t>
  </si>
  <si>
    <t>'NIST SRM 987' run on Thursday</t>
  </si>
  <si>
    <t xml:space="preserve"> 2025 at 18:46</t>
  </si>
  <si>
    <t xml:space="preserve"> 2025 at 18:52</t>
  </si>
  <si>
    <t xml:space="preserve"> 2025 at 20:07</t>
  </si>
  <si>
    <t xml:space="preserve"> 2025 at 21:21</t>
  </si>
  <si>
    <t xml:space="preserve"> 2025 at 22:36</t>
  </si>
  <si>
    <t xml:space="preserve"> 2025 at 23:50</t>
  </si>
  <si>
    <t>'NIST SRM 987' run on Friday</t>
  </si>
  <si>
    <t xml:space="preserve"> 2025 at 01:06</t>
  </si>
  <si>
    <t xml:space="preserve"> 2025 at 02:20</t>
  </si>
  <si>
    <t>'NIST SRM 987' run on Tuesday</t>
  </si>
  <si>
    <t xml:space="preserve"> 2025 at 17:57</t>
  </si>
  <si>
    <t xml:space="preserve"> 2025 at 18:03</t>
  </si>
  <si>
    <t xml:space="preserve"> 2025 at 19:19</t>
  </si>
  <si>
    <t xml:space="preserve"> 2025 at 20:34</t>
  </si>
  <si>
    <t xml:space="preserve"> 2025 at 21:50</t>
  </si>
  <si>
    <t xml:space="preserve"> 2025 at 23:05</t>
  </si>
  <si>
    <t>'NIST SRM 987' run on Wednesday</t>
  </si>
  <si>
    <t xml:space="preserve"> 2025 at 00:21</t>
  </si>
  <si>
    <t xml:space="preserve"> 2025 at 11:51</t>
  </si>
  <si>
    <t xml:space="preserve"> 2025 at 12:34</t>
  </si>
  <si>
    <t>'NIST SRM 987' run on Monday</t>
  </si>
  <si>
    <t xml:space="preserve"> 2025 at 17:07</t>
  </si>
  <si>
    <t xml:space="preserve"> 2025 at 17:14</t>
  </si>
  <si>
    <t xml:space="preserve"> 2025 at 18:16</t>
  </si>
  <si>
    <t xml:space="preserve"> 2025 at 19:22</t>
  </si>
  <si>
    <t xml:space="preserve"> 2025 at 19:32</t>
  </si>
  <si>
    <t>NIST SRM 987 Strontium Carbonate Reference Material</t>
  </si>
  <si>
    <t>AVG</t>
  </si>
  <si>
    <t>True = 0.710249</t>
  </si>
  <si>
    <t>2SD</t>
  </si>
  <si>
    <t>ppm</t>
  </si>
  <si>
    <t>SCSC irM</t>
  </si>
  <si>
    <t>'SCSC iRM' run on Thursday</t>
  </si>
  <si>
    <t xml:space="preserve"> 2025 at 19:03</t>
  </si>
  <si>
    <t xml:space="preserve"> 2025 at 21:32</t>
  </si>
  <si>
    <t>'SCSC iRM' run on Friday</t>
  </si>
  <si>
    <t xml:space="preserve"> 2025 at 00:01</t>
  </si>
  <si>
    <t>'SCSC iRM' run on Tuesday</t>
  </si>
  <si>
    <t xml:space="preserve"> 2025 at 18:14</t>
  </si>
  <si>
    <t xml:space="preserve"> 2025 at 20:45</t>
  </si>
  <si>
    <t xml:space="preserve"> 2025 at 23:16</t>
  </si>
  <si>
    <t>'SCSC iRM' run on Wednesday</t>
  </si>
  <si>
    <t xml:space="preserve"> 2025 at 12:02</t>
  </si>
  <si>
    <t>'SCSC iRM' run on Monday</t>
  </si>
  <si>
    <t xml:space="preserve"> 2025 at 17:24</t>
  </si>
  <si>
    <t>South China Sea Coral Reference Material</t>
  </si>
  <si>
    <t>True = 0.70918</t>
  </si>
  <si>
    <t>SCSC Proc</t>
  </si>
  <si>
    <t>'SCSC iRM Proc' run on Thursday</t>
  </si>
  <si>
    <t xml:space="preserve"> 2025 at 20:17</t>
  </si>
  <si>
    <t xml:space="preserve"> 2025 at 22:46</t>
  </si>
  <si>
    <t>'SCSC iRM Proc' run on Friday</t>
  </si>
  <si>
    <t xml:space="preserve"> 2025 at 01:17</t>
  </si>
  <si>
    <t>'SCSC iRM Proc' run on Tuesday</t>
  </si>
  <si>
    <t xml:space="preserve"> 2025 at 19:30</t>
  </si>
  <si>
    <t xml:space="preserve"> 2025 at 22:01</t>
  </si>
  <si>
    <t>'SCSC iRM Proc' run on Wednesday</t>
  </si>
  <si>
    <t xml:space="preserve"> 2025 at 00:10</t>
  </si>
  <si>
    <t xml:space="preserve"> 2025 at 12:13</t>
  </si>
  <si>
    <t>'SCSC iRM PROC' run on Monday</t>
  </si>
  <si>
    <t xml:space="preserve"> 2025 at 17:35</t>
  </si>
  <si>
    <t>South China Sea Coral Reference Material Processed</t>
  </si>
  <si>
    <t>Analytical Dups</t>
  </si>
  <si>
    <t>RPD%</t>
  </si>
  <si>
    <t>Processed Dups</t>
  </si>
  <si>
    <t>MF-24-001</t>
  </si>
  <si>
    <t>MF-24-002</t>
  </si>
  <si>
    <t>MF-24-003</t>
  </si>
  <si>
    <t>MF-24-004</t>
  </si>
  <si>
    <t>MF-24-019</t>
  </si>
  <si>
    <t>MF-24-020</t>
  </si>
  <si>
    <t>MF-24-021</t>
  </si>
  <si>
    <t>MF-24-022</t>
  </si>
  <si>
    <t>MF-24-023</t>
  </si>
  <si>
    <t>MF-24-024</t>
  </si>
  <si>
    <t>MF-24-025</t>
  </si>
  <si>
    <t>MF-24-026</t>
  </si>
  <si>
    <t>MF-24-027</t>
  </si>
  <si>
    <t>MF-24-028</t>
  </si>
  <si>
    <t>MF-24-029</t>
  </si>
  <si>
    <t>MF-24-030</t>
  </si>
  <si>
    <t>MF-24-005</t>
  </si>
  <si>
    <t>MF-24-006</t>
  </si>
  <si>
    <t>MF-24-007</t>
  </si>
  <si>
    <t>MF-24-008</t>
  </si>
  <si>
    <t>MF-24-009</t>
  </si>
  <si>
    <t>MF-24-010</t>
  </si>
  <si>
    <t>MF-24-011</t>
  </si>
  <si>
    <t>MF-24-012</t>
  </si>
  <si>
    <t>MF-24-013</t>
  </si>
  <si>
    <t>MF-24-014</t>
  </si>
  <si>
    <t>MF-24-015</t>
  </si>
  <si>
    <t>MF-24-016</t>
  </si>
  <si>
    <t>MF-24-017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</si>
</sst>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%"/>
  </numFmts>
  <fonts count="6" x14ac:knownFonts="1">
    <font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1" fontId="3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1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4A5B-0109-3B44-A2B5-FD2693F0BE18}">
  <dimension ref="A2:AG35"/>
  <sheetViews>
    <sheetView tabSelected="1" topLeftCell="A4" workbookViewId="0">
      <selection activeCell="A6" sqref="A6"/>
    </sheetView>
  </sheetViews>
  <sheetFormatPr defaultColWidth="11" defaultRowHeight="15.75" x14ac:dyDescent="0.25"/>
  <cols>
    <col min="1" max="1" width="20.625" customWidth="1"/>
    <col min="2" max="2" width="20.5" bestFit="1" customWidth="1"/>
    <col min="4" max="4" width="12.125" bestFit="1" customWidth="1"/>
    <col min="5" max="5" width="13.125" bestFit="1" customWidth="1"/>
  </cols>
  <sheetData>
    <row r="2" spans="1:33" s="1" customFormat="1" x14ac:dyDescent="0.25">
      <c r="F2" s="2"/>
      <c r="G2" s="3"/>
      <c r="H2" s="4" t="s">
        <v>0</v>
      </c>
      <c r="I2" s="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s="5" customFormat="1" ht="15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4" t="s">
        <v>8</v>
      </c>
      <c r="I3" s="4" t="s">
        <v>9</v>
      </c>
      <c r="J3" s="5" t="s">
        <v>10</v>
      </c>
      <c r="K3" s="5" t="s">
        <v>6</v>
      </c>
      <c r="L3" s="5" t="s">
        <v>11</v>
      </c>
      <c r="M3" s="5" t="s">
        <v>6</v>
      </c>
      <c r="N3" s="5" t="s">
        <v>12</v>
      </c>
      <c r="O3" s="5" t="s">
        <v>6</v>
      </c>
      <c r="P3" s="5" t="s">
        <v>13</v>
      </c>
      <c r="Q3" s="5" t="s">
        <v>6</v>
      </c>
      <c r="R3" s="5" t="s">
        <v>14</v>
      </c>
      <c r="S3" s="5" t="s">
        <v>6</v>
      </c>
      <c r="T3" s="5" t="s">
        <v>15</v>
      </c>
      <c r="U3" s="5" t="s">
        <v>6</v>
      </c>
      <c r="V3" s="5" t="s">
        <v>16</v>
      </c>
      <c r="W3" s="5" t="s">
        <v>6</v>
      </c>
      <c r="X3" s="5" t="s">
        <v>17</v>
      </c>
      <c r="Y3" s="5" t="s">
        <v>6</v>
      </c>
      <c r="Z3" s="5" t="s">
        <v>18</v>
      </c>
      <c r="AA3" s="5" t="s">
        <v>6</v>
      </c>
      <c r="AB3" s="5" t="s">
        <v>19</v>
      </c>
      <c r="AC3" s="5" t="s">
        <v>6</v>
      </c>
      <c r="AD3" s="5" t="s">
        <v>20</v>
      </c>
      <c r="AE3" s="5" t="s">
        <v>6</v>
      </c>
    </row>
    <row r="4" spans="1:33" s="1" customFormat="1" x14ac:dyDescent="0.25">
      <c r="A4" t="s">
        <v>160</v>
      </c>
      <c r="B4" s="1" t="s">
        <v>21</v>
      </c>
      <c r="C4" s="1" t="s">
        <v>22</v>
      </c>
      <c r="D4" s="1" t="s">
        <v>23</v>
      </c>
      <c r="E4" s="7">
        <v>0.70831949999999999</v>
      </c>
      <c r="F4" s="7">
        <v>6.9600000000000003E-6</v>
      </c>
      <c r="G4" s="7">
        <v>2.1414607154215885E-4</v>
      </c>
      <c r="H4" s="8">
        <v>0.70853364607154212</v>
      </c>
      <c r="I4" s="9">
        <v>1.3920000000000001E-5</v>
      </c>
      <c r="J4" s="7">
        <v>9.3365709999999999E-4</v>
      </c>
      <c r="K4" s="7">
        <v>1.0499999999999999E-6</v>
      </c>
      <c r="L4" s="7">
        <v>1.3418690000000001E-3</v>
      </c>
      <c r="M4" s="7">
        <v>4.7700000000000005E-7</v>
      </c>
      <c r="N4" s="7">
        <v>1.533328</v>
      </c>
      <c r="O4" s="7">
        <v>5.3700000000000004E-4</v>
      </c>
      <c r="P4" s="7">
        <v>8.6901740000000007</v>
      </c>
      <c r="Q4" s="7">
        <v>2.3400000000000001E-2</v>
      </c>
      <c r="R4" s="7">
        <v>1.9939130000000001E-4</v>
      </c>
      <c r="S4" s="7">
        <v>3.1800000000000002E-7</v>
      </c>
      <c r="T4" s="7">
        <v>7.2188649999999997E-3</v>
      </c>
      <c r="U4" s="7">
        <v>9.7000000000000003E-7</v>
      </c>
      <c r="V4" s="7">
        <v>0.11556139999999999</v>
      </c>
      <c r="W4" s="7">
        <v>1.24E-6</v>
      </c>
      <c r="X4" s="7">
        <v>8.3107390000000003E-2</v>
      </c>
      <c r="Y4" s="7">
        <v>9.4099999999999997E-7</v>
      </c>
      <c r="Z4" s="7">
        <v>0.72380610000000001</v>
      </c>
      <c r="AA4" s="7">
        <v>7.8900000000000007E-6</v>
      </c>
      <c r="AB4" s="7">
        <v>8.1134209999999991E-3</v>
      </c>
      <c r="AC4" s="7">
        <v>2.7800000000000001E-5</v>
      </c>
      <c r="AD4" s="7">
        <v>1.165659E-2</v>
      </c>
      <c r="AE4" s="7">
        <v>3.1999999999999999E-5</v>
      </c>
    </row>
    <row r="5" spans="1:33" s="1" customFormat="1" x14ac:dyDescent="0.25">
      <c r="A5" t="s">
        <v>161</v>
      </c>
      <c r="B5" s="1" t="s">
        <v>24</v>
      </c>
      <c r="C5" s="1" t="s">
        <v>22</v>
      </c>
      <c r="D5" s="1" t="s">
        <v>25</v>
      </c>
      <c r="E5" s="7">
        <v>0.70820019999999995</v>
      </c>
      <c r="F5" s="7">
        <v>8.4400000000000005E-6</v>
      </c>
      <c r="G5" s="7">
        <v>2.0642584376148325E-4</v>
      </c>
      <c r="H5" s="8">
        <v>0.70840662584376146</v>
      </c>
      <c r="I5" s="9">
        <v>1.6880000000000001E-5</v>
      </c>
      <c r="J5" s="7">
        <v>1.490702E-3</v>
      </c>
      <c r="K5" s="7">
        <v>5.1100000000000002E-6</v>
      </c>
      <c r="L5" s="7">
        <v>5.2388770000000003E-4</v>
      </c>
      <c r="M5" s="7">
        <v>6.2699999999999999E-7</v>
      </c>
      <c r="N5" s="7">
        <v>1.53302</v>
      </c>
      <c r="O5" s="7">
        <v>6.1499999999999999E-4</v>
      </c>
      <c r="P5" s="7">
        <v>5.3322320000000003</v>
      </c>
      <c r="Q5" s="7">
        <v>1.0699999999999999E-2</v>
      </c>
      <c r="R5" s="7">
        <v>3.2555330000000001E-4</v>
      </c>
      <c r="S5" s="7">
        <v>1.1400000000000001E-6</v>
      </c>
      <c r="T5" s="7">
        <v>7.7761260000000004E-3</v>
      </c>
      <c r="U5" s="7">
        <v>5.22E-6</v>
      </c>
      <c r="V5" s="7">
        <v>0.1157362</v>
      </c>
      <c r="W5" s="7">
        <v>2.8499999999999998E-6</v>
      </c>
      <c r="X5" s="7">
        <v>8.309424E-2</v>
      </c>
      <c r="Y5" s="7">
        <v>1.22E-6</v>
      </c>
      <c r="Z5" s="7">
        <v>0.71977619999999998</v>
      </c>
      <c r="AA5" s="7">
        <v>1.6399999999999999E-5</v>
      </c>
      <c r="AB5" s="7">
        <v>7.9103809999999993E-3</v>
      </c>
      <c r="AC5" s="7">
        <v>2.1800000000000001E-5</v>
      </c>
      <c r="AD5" s="7">
        <v>2.793285E-3</v>
      </c>
      <c r="AE5" s="7">
        <v>5.4500000000000003E-6</v>
      </c>
    </row>
    <row r="6" spans="1:33" s="1" customFormat="1" x14ac:dyDescent="0.25">
      <c r="A6" t="s">
        <v>162</v>
      </c>
      <c r="B6" s="1" t="s">
        <v>26</v>
      </c>
      <c r="C6" s="1" t="s">
        <v>22</v>
      </c>
      <c r="D6" s="1" t="s">
        <v>27</v>
      </c>
      <c r="E6" s="7">
        <v>0.70875410000000005</v>
      </c>
      <c r="F6" s="7">
        <v>6.7000000000000002E-6</v>
      </c>
      <c r="G6" s="7">
        <v>1.989839396341733E-4</v>
      </c>
      <c r="H6" s="8">
        <v>0.70895308393963419</v>
      </c>
      <c r="I6" s="9">
        <v>1.34E-5</v>
      </c>
      <c r="J6" s="7">
        <v>1.0583019999999999E-3</v>
      </c>
      <c r="K6" s="7">
        <v>3.36E-6</v>
      </c>
      <c r="L6" s="7">
        <v>2.6741489999999998E-4</v>
      </c>
      <c r="M6" s="7">
        <v>4.7300000000000001E-7</v>
      </c>
      <c r="N6" s="7">
        <v>1.538764</v>
      </c>
      <c r="O6" s="7">
        <v>5.4799999999999998E-4</v>
      </c>
      <c r="P6" s="7">
        <v>8.236974</v>
      </c>
      <c r="Q6" s="7">
        <v>1.11E-2</v>
      </c>
      <c r="R6" s="7">
        <v>2.2708670000000001E-4</v>
      </c>
      <c r="S6" s="7">
        <v>7.92E-7</v>
      </c>
      <c r="T6" s="7">
        <v>7.3420250000000003E-3</v>
      </c>
      <c r="U6" s="7">
        <v>3.4599999999999999E-6</v>
      </c>
      <c r="V6" s="7">
        <v>0.11558640000000001</v>
      </c>
      <c r="W6" s="7">
        <v>2.2400000000000002E-6</v>
      </c>
      <c r="X6" s="7">
        <v>8.3153589999999999E-2</v>
      </c>
      <c r="Y6" s="7">
        <v>8.7300000000000005E-7</v>
      </c>
      <c r="Z6" s="7">
        <v>0.72033729999999996</v>
      </c>
      <c r="AA6" s="7">
        <v>1.2500000000000001E-5</v>
      </c>
      <c r="AB6" s="7">
        <v>8.7166540000000008E-3</v>
      </c>
      <c r="AC6" s="7">
        <v>1.9899999999999999E-5</v>
      </c>
      <c r="AD6" s="7">
        <v>2.2043179999999998E-3</v>
      </c>
      <c r="AE6" s="7">
        <v>4.34E-6</v>
      </c>
    </row>
    <row r="7" spans="1:33" s="1" customFormat="1" x14ac:dyDescent="0.25">
      <c r="A7" t="s">
        <v>163</v>
      </c>
      <c r="B7" s="1" t="s">
        <v>29</v>
      </c>
      <c r="C7" s="1" t="s">
        <v>22</v>
      </c>
      <c r="D7" s="1" t="s">
        <v>30</v>
      </c>
      <c r="E7" s="7">
        <v>0.70879510000000001</v>
      </c>
      <c r="F7" s="7">
        <v>6.8199999999999999E-6</v>
      </c>
      <c r="G7" s="7">
        <v>1.9181032525213414E-4</v>
      </c>
      <c r="H7" s="8">
        <v>0.70898691032525218</v>
      </c>
      <c r="I7" s="9">
        <v>1.364E-5</v>
      </c>
      <c r="J7" s="7">
        <v>7.3344109999999997E-4</v>
      </c>
      <c r="K7" s="7">
        <v>1.53E-6</v>
      </c>
      <c r="L7" s="7">
        <v>3.017955E-4</v>
      </c>
      <c r="M7" s="7">
        <v>4.3500000000000002E-7</v>
      </c>
      <c r="N7" s="7">
        <v>1.542395</v>
      </c>
      <c r="O7" s="7">
        <v>5.3700000000000004E-4</v>
      </c>
      <c r="P7" s="7">
        <v>10.671110000000001</v>
      </c>
      <c r="Q7" s="7">
        <v>1.8100000000000002E-2</v>
      </c>
      <c r="R7" s="7">
        <v>1.5627269999999999E-4</v>
      </c>
      <c r="S7" s="7">
        <v>2.6600000000000003E-7</v>
      </c>
      <c r="T7" s="7">
        <v>7.0160379999999996E-3</v>
      </c>
      <c r="U7" s="7">
        <v>1.59E-6</v>
      </c>
      <c r="V7" s="7">
        <v>0.1154747</v>
      </c>
      <c r="W7" s="7">
        <v>1.59E-6</v>
      </c>
      <c r="X7" s="7">
        <v>8.3154580000000006E-2</v>
      </c>
      <c r="Y7" s="7">
        <v>8.4799999999999997E-7</v>
      </c>
      <c r="Z7" s="7">
        <v>0.72115689999999999</v>
      </c>
      <c r="AA7" s="7">
        <v>1.0200000000000001E-5</v>
      </c>
      <c r="AB7" s="7">
        <v>7.8160049999999991E-3</v>
      </c>
      <c r="AC7" s="7">
        <v>1.49E-5</v>
      </c>
      <c r="AD7" s="7">
        <v>3.22683E-3</v>
      </c>
      <c r="AE7" s="7">
        <v>5.0499999999999999E-6</v>
      </c>
    </row>
    <row r="8" spans="1:33" s="1" customFormat="1" x14ac:dyDescent="0.25">
      <c r="A8" t="s">
        <v>163</v>
      </c>
      <c r="B8" s="1" t="s">
        <v>31</v>
      </c>
      <c r="C8" s="1" t="s">
        <v>32</v>
      </c>
      <c r="D8" s="1" t="s">
        <v>33</v>
      </c>
      <c r="E8" s="7">
        <v>0.70893729999999999</v>
      </c>
      <c r="F8" s="7">
        <v>7.7999999999999999E-6</v>
      </c>
      <c r="G8" s="7">
        <v>5.3059171576555523E-5</v>
      </c>
      <c r="H8" s="8">
        <v>0.7089903591715766</v>
      </c>
      <c r="I8" s="9">
        <v>1.56E-5</v>
      </c>
      <c r="J8" s="7">
        <v>8.8798139999999995E-4</v>
      </c>
      <c r="K8" s="7">
        <v>2.7E-6</v>
      </c>
      <c r="L8" s="7">
        <v>2.6305710000000001E-4</v>
      </c>
      <c r="M8" s="7">
        <v>2.23E-7</v>
      </c>
      <c r="N8" s="7">
        <v>1.5138160000000001</v>
      </c>
      <c r="O8" s="7">
        <v>5.8900000000000001E-4</v>
      </c>
      <c r="P8" s="7">
        <v>11.269399999999999</v>
      </c>
      <c r="Q8" s="7">
        <v>1.4800000000000001E-2</v>
      </c>
      <c r="R8" s="7">
        <v>1.8141979999999999E-4</v>
      </c>
      <c r="S8" s="7">
        <v>5.2900000000000004E-7</v>
      </c>
      <c r="T8" s="7">
        <v>7.1789269999999999E-3</v>
      </c>
      <c r="U8" s="7">
        <v>2.8100000000000002E-6</v>
      </c>
      <c r="V8" s="7">
        <v>0.1155983</v>
      </c>
      <c r="W8" s="7">
        <v>2.17E-6</v>
      </c>
      <c r="X8" s="7">
        <v>8.3198640000000004E-2</v>
      </c>
      <c r="Y8" s="7">
        <v>9.95E-7</v>
      </c>
      <c r="Z8" s="7">
        <v>0.72062729999999997</v>
      </c>
      <c r="AA8" s="7">
        <v>1.27E-5</v>
      </c>
      <c r="AB8" s="7">
        <v>1.001111E-2</v>
      </c>
      <c r="AC8" s="7">
        <v>1.9599999999999999E-5</v>
      </c>
      <c r="AD8" s="7">
        <v>2.9670400000000002E-3</v>
      </c>
      <c r="AE8" s="7">
        <v>4.6299999999999997E-6</v>
      </c>
    </row>
    <row r="9" spans="1:33" s="1" customFormat="1" x14ac:dyDescent="0.25">
      <c r="A9" t="s">
        <v>176</v>
      </c>
      <c r="B9" s="1" t="s">
        <v>34</v>
      </c>
      <c r="C9" s="1" t="s">
        <v>22</v>
      </c>
      <c r="D9" s="1" t="s">
        <v>35</v>
      </c>
      <c r="E9" s="7">
        <v>0.70875180000000004</v>
      </c>
      <c r="F9" s="7">
        <v>7.0700000000000001E-6</v>
      </c>
      <c r="G9" s="7">
        <v>1.8489532844192917E-4</v>
      </c>
      <c r="H9" s="8">
        <v>0.70893669532844195</v>
      </c>
      <c r="I9" s="9">
        <v>1.414E-5</v>
      </c>
      <c r="J9" s="7">
        <v>8.8806340000000005E-4</v>
      </c>
      <c r="K9" s="7">
        <v>4.16E-6</v>
      </c>
      <c r="L9" s="7">
        <v>1.4215230000000001E-4</v>
      </c>
      <c r="M9" s="7">
        <v>2.7300000000000002E-7</v>
      </c>
      <c r="N9" s="7">
        <v>1.535803</v>
      </c>
      <c r="O9" s="7">
        <v>8.1400000000000005E-4</v>
      </c>
      <c r="P9" s="7">
        <v>9.9572299999999991</v>
      </c>
      <c r="Q9" s="7">
        <v>1.84E-2</v>
      </c>
      <c r="R9" s="7">
        <v>1.887584E-4</v>
      </c>
      <c r="S9" s="7">
        <v>7.9800000000000003E-7</v>
      </c>
      <c r="T9" s="7">
        <v>7.1723129999999996E-3</v>
      </c>
      <c r="U9" s="7">
        <v>4.33E-6</v>
      </c>
      <c r="V9" s="7">
        <v>0.1155385</v>
      </c>
      <c r="W9" s="7">
        <v>3.1599999999999998E-6</v>
      </c>
      <c r="X9" s="7">
        <v>8.315546E-2</v>
      </c>
      <c r="Y9" s="7">
        <v>1.11E-6</v>
      </c>
      <c r="Z9" s="7">
        <v>0.72021740000000001</v>
      </c>
      <c r="AA9" s="7">
        <v>1.5E-5</v>
      </c>
      <c r="AB9" s="7">
        <v>8.8326240000000007E-3</v>
      </c>
      <c r="AC9" s="7">
        <v>2.3799999999999999E-5</v>
      </c>
      <c r="AD9" s="7">
        <v>1.4158230000000001E-3</v>
      </c>
      <c r="AE9" s="7">
        <v>2.7800000000000001E-6</v>
      </c>
    </row>
    <row r="10" spans="1:33" s="1" customFormat="1" x14ac:dyDescent="0.25">
      <c r="A10" t="s">
        <v>177</v>
      </c>
      <c r="B10" s="1" t="s">
        <v>36</v>
      </c>
      <c r="C10" s="1" t="s">
        <v>22</v>
      </c>
      <c r="D10" s="1" t="s">
        <v>37</v>
      </c>
      <c r="E10" s="7">
        <v>0.70868569999999997</v>
      </c>
      <c r="F10" s="7">
        <v>8.9199999999999993E-6</v>
      </c>
      <c r="G10" s="7">
        <v>1.6561047714136863E-4</v>
      </c>
      <c r="H10" s="8">
        <v>0.70885131047714134</v>
      </c>
      <c r="I10" s="9">
        <v>1.7839999999999999E-5</v>
      </c>
      <c r="J10" s="7">
        <v>1.7321190000000001E-3</v>
      </c>
      <c r="K10" s="7">
        <v>4.1500000000000001E-6</v>
      </c>
      <c r="L10" s="7">
        <v>6.8693979999999997E-4</v>
      </c>
      <c r="M10" s="7">
        <v>4.9999999999999998E-7</v>
      </c>
      <c r="N10" s="7">
        <v>1.532737</v>
      </c>
      <c r="O10" s="7">
        <v>6.2100000000000002E-4</v>
      </c>
      <c r="P10" s="7">
        <v>5.0168970000000002</v>
      </c>
      <c r="Q10" s="7">
        <v>1.01E-2</v>
      </c>
      <c r="R10" s="7">
        <v>3.7502830000000001E-4</v>
      </c>
      <c r="S10" s="7">
        <v>9.9800000000000002E-7</v>
      </c>
      <c r="T10" s="7">
        <v>8.0172339999999998E-3</v>
      </c>
      <c r="U10" s="7">
        <v>4.2599999999999999E-6</v>
      </c>
      <c r="V10" s="7">
        <v>0.11581610000000001</v>
      </c>
      <c r="W10" s="7">
        <v>2.7099999999999999E-6</v>
      </c>
      <c r="X10" s="7">
        <v>8.3150420000000003E-2</v>
      </c>
      <c r="Y10" s="7">
        <v>1.0899999999999999E-6</v>
      </c>
      <c r="Z10" s="7">
        <v>0.72031409999999996</v>
      </c>
      <c r="AA10" s="7">
        <v>1.8700000000000001E-5</v>
      </c>
      <c r="AB10" s="7">
        <v>8.6774790000000001E-3</v>
      </c>
      <c r="AC10" s="7">
        <v>2.41E-5</v>
      </c>
      <c r="AD10" s="7">
        <v>3.4451550000000001E-3</v>
      </c>
      <c r="AE10" s="7">
        <v>7.1400000000000002E-6</v>
      </c>
    </row>
    <row r="11" spans="1:33" s="1" customFormat="1" x14ac:dyDescent="0.25">
      <c r="A11" t="s">
        <v>178</v>
      </c>
      <c r="B11" s="1" t="s">
        <v>38</v>
      </c>
      <c r="C11" s="1" t="s">
        <v>22</v>
      </c>
      <c r="D11" s="1" t="s">
        <v>39</v>
      </c>
      <c r="E11" s="7">
        <v>0.70857570000000003</v>
      </c>
      <c r="F11" s="7">
        <v>9.1300000000000007E-6</v>
      </c>
      <c r="G11" s="7">
        <v>1.5964001689808545E-4</v>
      </c>
      <c r="H11" s="8">
        <v>0.70873534001689809</v>
      </c>
      <c r="I11" s="9">
        <v>1.8260000000000001E-5</v>
      </c>
      <c r="J11" s="7">
        <v>1.169579E-3</v>
      </c>
      <c r="K11" s="7">
        <v>4.1200000000000004E-6</v>
      </c>
      <c r="L11" s="7">
        <v>2.110716E-4</v>
      </c>
      <c r="M11" s="7">
        <v>3.9999999999999998E-7</v>
      </c>
      <c r="N11" s="7">
        <v>1.5383549999999999</v>
      </c>
      <c r="O11" s="7">
        <v>8.2700000000000004E-4</v>
      </c>
      <c r="P11" s="7">
        <v>6.8611209999999998</v>
      </c>
      <c r="Q11" s="7">
        <v>1.0500000000000001E-2</v>
      </c>
      <c r="R11" s="7">
        <v>2.4865750000000001E-4</v>
      </c>
      <c r="S11" s="7">
        <v>1.08E-6</v>
      </c>
      <c r="T11" s="7">
        <v>7.4532940000000001E-3</v>
      </c>
      <c r="U11" s="7">
        <v>4.3200000000000001E-6</v>
      </c>
      <c r="V11" s="7">
        <v>0.1156223</v>
      </c>
      <c r="W11" s="7">
        <v>3.32E-6</v>
      </c>
      <c r="X11" s="7">
        <v>8.3132360000000002E-2</v>
      </c>
      <c r="Y11" s="7">
        <v>1.37E-6</v>
      </c>
      <c r="Z11" s="7">
        <v>0.71974139999999998</v>
      </c>
      <c r="AA11" s="7">
        <v>1.43E-5</v>
      </c>
      <c r="AB11" s="7">
        <v>8.0259540000000001E-3</v>
      </c>
      <c r="AC11" s="7">
        <v>1.8499999999999999E-5</v>
      </c>
      <c r="AD11" s="7">
        <v>1.447589E-3</v>
      </c>
      <c r="AE11" s="7">
        <v>3.9099999999999998E-6</v>
      </c>
    </row>
    <row r="12" spans="1:33" s="1" customFormat="1" x14ac:dyDescent="0.25">
      <c r="A12" t="s">
        <v>179</v>
      </c>
      <c r="B12" s="1" t="s">
        <v>40</v>
      </c>
      <c r="C12" s="1" t="s">
        <v>22</v>
      </c>
      <c r="D12" s="1" t="s">
        <v>41</v>
      </c>
      <c r="E12" s="7">
        <v>0.70887840000000002</v>
      </c>
      <c r="F12" s="7">
        <v>7.1300000000000003E-6</v>
      </c>
      <c r="G12" s="7">
        <v>1.5388479904847156E-4</v>
      </c>
      <c r="H12" s="8">
        <v>0.70903228479904845</v>
      </c>
      <c r="I12" s="9">
        <v>1.4260000000000001E-5</v>
      </c>
      <c r="J12" s="7">
        <v>1.1882360000000001E-3</v>
      </c>
      <c r="K12" s="7">
        <v>5.6300000000000003E-6</v>
      </c>
      <c r="L12" s="7">
        <v>6.3616949999999997E-4</v>
      </c>
      <c r="M12" s="7">
        <v>3.0600000000000001E-7</v>
      </c>
      <c r="N12" s="7">
        <v>1.5184409999999999</v>
      </c>
      <c r="O12" s="7">
        <v>5.8E-4</v>
      </c>
      <c r="P12" s="7">
        <v>7.974291</v>
      </c>
      <c r="Q12" s="7">
        <v>1.8100000000000002E-2</v>
      </c>
      <c r="R12" s="7">
        <v>2.482389E-4</v>
      </c>
      <c r="S12" s="7">
        <v>1.1799999999999999E-6</v>
      </c>
      <c r="T12" s="7">
        <v>7.4780020000000001E-3</v>
      </c>
      <c r="U12" s="7">
        <v>5.7799999999999997E-6</v>
      </c>
      <c r="V12" s="7">
        <v>0.1156811</v>
      </c>
      <c r="W12" s="7">
        <v>3.0800000000000002E-6</v>
      </c>
      <c r="X12" s="7">
        <v>8.3188390000000001E-2</v>
      </c>
      <c r="Y12" s="7">
        <v>1.02E-6</v>
      </c>
      <c r="Z12" s="7">
        <v>0.72131149999999999</v>
      </c>
      <c r="AA12" s="7">
        <v>1.91E-5</v>
      </c>
      <c r="AB12" s="7">
        <v>9.4548759999999992E-3</v>
      </c>
      <c r="AC12" s="7">
        <v>2.27E-5</v>
      </c>
      <c r="AD12" s="7">
        <v>5.0748879999999996E-3</v>
      </c>
      <c r="AE12" s="7">
        <v>1.24E-5</v>
      </c>
    </row>
    <row r="13" spans="1:33" s="1" customFormat="1" x14ac:dyDescent="0.25">
      <c r="A13" t="s">
        <v>180</v>
      </c>
      <c r="B13" s="1" t="s">
        <v>42</v>
      </c>
      <c r="C13" s="1" t="s">
        <v>22</v>
      </c>
      <c r="D13" s="1" t="s">
        <v>43</v>
      </c>
      <c r="E13" s="7">
        <v>0.70868410000000004</v>
      </c>
      <c r="F13" s="7">
        <v>5.8799999999999996E-6</v>
      </c>
      <c r="G13" s="7">
        <v>1.4833706384099286E-4</v>
      </c>
      <c r="H13" s="8">
        <v>0.70883243706384103</v>
      </c>
      <c r="I13" s="9">
        <v>1.1759999999999999E-5</v>
      </c>
      <c r="J13" s="7">
        <v>8.4555700000000004E-4</v>
      </c>
      <c r="K13" s="7">
        <v>1.6500000000000001E-6</v>
      </c>
      <c r="L13" s="7">
        <v>4.2209840000000001E-4</v>
      </c>
      <c r="M13" s="7">
        <v>2.41E-7</v>
      </c>
      <c r="N13" s="7">
        <v>1.525334</v>
      </c>
      <c r="O13" s="7">
        <v>5.0299999999999997E-4</v>
      </c>
      <c r="P13" s="7">
        <v>10.43417</v>
      </c>
      <c r="Q13" s="7">
        <v>2.8400000000000002E-2</v>
      </c>
      <c r="R13" s="7">
        <v>1.76894E-4</v>
      </c>
      <c r="S13" s="7">
        <v>4.3000000000000001E-7</v>
      </c>
      <c r="T13" s="7">
        <v>7.1331909999999997E-3</v>
      </c>
      <c r="U13" s="7">
        <v>1.66E-6</v>
      </c>
      <c r="V13" s="7">
        <v>0.11555459999999999</v>
      </c>
      <c r="W13" s="7">
        <v>1.3400000000000001E-6</v>
      </c>
      <c r="X13" s="7">
        <v>8.3158670000000004E-2</v>
      </c>
      <c r="Y13" s="7">
        <v>8.5600000000000004E-7</v>
      </c>
      <c r="Z13" s="7">
        <v>0.72110589999999997</v>
      </c>
      <c r="AA13" s="7">
        <v>9.4900000000000006E-6</v>
      </c>
      <c r="AB13" s="7">
        <v>8.7921319999999994E-3</v>
      </c>
      <c r="AC13" s="7">
        <v>3.5299999999999997E-5</v>
      </c>
      <c r="AD13" s="7">
        <v>4.4025679999999999E-3</v>
      </c>
      <c r="AE13" s="7">
        <v>1.1800000000000001E-5</v>
      </c>
    </row>
    <row r="14" spans="1:33" s="1" customFormat="1" x14ac:dyDescent="0.25">
      <c r="A14" t="s">
        <v>181</v>
      </c>
      <c r="B14" s="1" t="s">
        <v>44</v>
      </c>
      <c r="C14" s="1" t="s">
        <v>22</v>
      </c>
      <c r="D14" s="1" t="s">
        <v>45</v>
      </c>
      <c r="E14" s="7">
        <v>0.71217140000000001</v>
      </c>
      <c r="F14" s="7">
        <v>9.8900000000000002E-6</v>
      </c>
      <c r="G14" s="7">
        <v>1.4298933127264812E-4</v>
      </c>
      <c r="H14" s="8">
        <v>0.71231438933127267</v>
      </c>
      <c r="I14" s="9">
        <v>1.978E-5</v>
      </c>
      <c r="J14" s="7">
        <v>1.1608969999999999E-3</v>
      </c>
      <c r="K14" s="7">
        <v>4.1400000000000002E-6</v>
      </c>
      <c r="L14" s="7">
        <v>3.6960070000000001E-4</v>
      </c>
      <c r="M14" s="7">
        <v>4.1699999999999999E-7</v>
      </c>
      <c r="N14" s="7">
        <v>1.521633</v>
      </c>
      <c r="O14" s="7">
        <v>6.7199999999999996E-4</v>
      </c>
      <c r="P14" s="7">
        <v>7.5436319999999997</v>
      </c>
      <c r="Q14" s="7">
        <v>2.1999999999999999E-2</v>
      </c>
      <c r="R14" s="7">
        <v>2.4683730000000002E-4</v>
      </c>
      <c r="S14" s="7">
        <v>8.9199999999999999E-7</v>
      </c>
      <c r="T14" s="7">
        <v>7.4495760000000003E-3</v>
      </c>
      <c r="U14" s="7">
        <v>4.2200000000000003E-6</v>
      </c>
      <c r="V14" s="7">
        <v>0.11566360000000001</v>
      </c>
      <c r="W14" s="7">
        <v>2.48E-6</v>
      </c>
      <c r="X14" s="7">
        <v>8.3570930000000002E-2</v>
      </c>
      <c r="Y14" s="7">
        <v>1.2300000000000001E-6</v>
      </c>
      <c r="Z14" s="7">
        <v>0.72379890000000002</v>
      </c>
      <c r="AA14" s="7">
        <v>1.6200000000000001E-5</v>
      </c>
      <c r="AB14" s="7">
        <v>8.7296200000000004E-3</v>
      </c>
      <c r="AC14" s="7">
        <v>1.9300000000000002E-5</v>
      </c>
      <c r="AD14" s="7">
        <v>2.7797020000000002E-3</v>
      </c>
      <c r="AE14" s="7">
        <v>8.5399999999999996E-6</v>
      </c>
    </row>
    <row r="15" spans="1:33" s="1" customFormat="1" x14ac:dyDescent="0.25">
      <c r="A15" t="s">
        <v>182</v>
      </c>
      <c r="B15" s="1" t="s">
        <v>46</v>
      </c>
      <c r="C15" s="1" t="s">
        <v>22</v>
      </c>
      <c r="D15" s="1" t="s">
        <v>47</v>
      </c>
      <c r="E15" s="7">
        <v>0.70832329999999999</v>
      </c>
      <c r="F15" s="7">
        <v>7.2400000000000001E-6</v>
      </c>
      <c r="G15" s="7">
        <v>1.2807533634158811E-4</v>
      </c>
      <c r="H15" s="8">
        <v>0.70845137533634162</v>
      </c>
      <c r="I15" s="9">
        <v>1.448E-5</v>
      </c>
      <c r="J15" s="7">
        <v>1.130498E-3</v>
      </c>
      <c r="K15" s="7">
        <v>4.16E-6</v>
      </c>
      <c r="L15" s="7">
        <v>3.5299540000000002E-4</v>
      </c>
      <c r="M15" s="7">
        <v>2.3699999999999999E-7</v>
      </c>
      <c r="N15" s="7">
        <v>1.51176</v>
      </c>
      <c r="O15" s="7">
        <v>5.1999999999999995E-4</v>
      </c>
      <c r="P15" s="7">
        <v>8.4306129999999992</v>
      </c>
      <c r="Q15" s="7">
        <v>1.18E-2</v>
      </c>
      <c r="R15" s="7">
        <v>2.3694920000000001E-4</v>
      </c>
      <c r="S15" s="7">
        <v>9.0599999999999999E-7</v>
      </c>
      <c r="T15" s="7">
        <v>7.4219280000000004E-3</v>
      </c>
      <c r="U15" s="7">
        <v>4.25E-6</v>
      </c>
      <c r="V15" s="7">
        <v>0.1156797</v>
      </c>
      <c r="W15" s="7">
        <v>2.4899999999999999E-6</v>
      </c>
      <c r="X15" s="7">
        <v>8.3128400000000005E-2</v>
      </c>
      <c r="Y15" s="7">
        <v>7.4700000000000001E-7</v>
      </c>
      <c r="Z15" s="7">
        <v>0.71982420000000003</v>
      </c>
      <c r="AA15" s="7">
        <v>1.4E-5</v>
      </c>
      <c r="AB15" s="7">
        <v>9.5361430000000004E-3</v>
      </c>
      <c r="AC15" s="7">
        <v>2.4199999999999999E-5</v>
      </c>
      <c r="AD15" s="7">
        <v>2.9782340000000002E-3</v>
      </c>
      <c r="AE15" s="7">
        <v>4.0799999999999999E-6</v>
      </c>
    </row>
    <row r="16" spans="1:33" s="1" customFormat="1" x14ac:dyDescent="0.25">
      <c r="A16" t="s">
        <v>183</v>
      </c>
      <c r="B16" s="1" t="s">
        <v>48</v>
      </c>
      <c r="C16" s="1" t="s">
        <v>22</v>
      </c>
      <c r="D16" s="1" t="s">
        <v>49</v>
      </c>
      <c r="E16" s="7">
        <v>0.70900700000000005</v>
      </c>
      <c r="F16" s="7">
        <v>5.2700000000000004E-6</v>
      </c>
      <c r="G16" s="7">
        <v>1.2345806382977814E-4</v>
      </c>
      <c r="H16" s="8">
        <v>0.70913045806382979</v>
      </c>
      <c r="I16" s="9">
        <v>1.0540000000000001E-5</v>
      </c>
      <c r="J16" s="7">
        <v>9.4376080000000003E-4</v>
      </c>
      <c r="K16" s="7">
        <v>1.13E-6</v>
      </c>
      <c r="L16" s="7">
        <v>2.3117839999999999E-3</v>
      </c>
      <c r="M16" s="7">
        <v>6.9500000000000002E-7</v>
      </c>
      <c r="N16" s="7">
        <v>1.5111349999999999</v>
      </c>
      <c r="O16" s="7">
        <v>5.9699999999999998E-4</v>
      </c>
      <c r="P16" s="7">
        <v>9.6026129999999998</v>
      </c>
      <c r="Q16" s="7">
        <v>3.0099999999999998E-2</v>
      </c>
      <c r="R16" s="7">
        <v>1.955076E-4</v>
      </c>
      <c r="S16" s="7">
        <v>3.0600000000000001E-7</v>
      </c>
      <c r="T16" s="7">
        <v>7.2356879999999997E-3</v>
      </c>
      <c r="U16" s="7">
        <v>1.0499999999999999E-6</v>
      </c>
      <c r="V16" s="7">
        <v>0.1156229</v>
      </c>
      <c r="W16" s="7">
        <v>1.5E-6</v>
      </c>
      <c r="X16" s="7">
        <v>8.3209240000000004E-2</v>
      </c>
      <c r="Y16" s="7">
        <v>7.9800000000000003E-7</v>
      </c>
      <c r="Z16" s="7">
        <v>0.72764960000000001</v>
      </c>
      <c r="AA16" s="7">
        <v>7.9300000000000003E-6</v>
      </c>
      <c r="AB16" s="7">
        <v>9.0504339999999996E-3</v>
      </c>
      <c r="AC16" s="7">
        <v>3.3699999999999999E-5</v>
      </c>
      <c r="AD16" s="7">
        <v>2.2178420000000001E-2</v>
      </c>
      <c r="AE16" s="7">
        <v>7.0400000000000004E-5</v>
      </c>
    </row>
    <row r="17" spans="1:31" s="1" customFormat="1" x14ac:dyDescent="0.25">
      <c r="A17" t="s">
        <v>184</v>
      </c>
      <c r="B17" s="1" t="s">
        <v>50</v>
      </c>
      <c r="C17" s="1" t="s">
        <v>22</v>
      </c>
      <c r="D17" s="1" t="s">
        <v>51</v>
      </c>
      <c r="E17" s="7">
        <v>0.7272689</v>
      </c>
      <c r="F17" s="7">
        <v>1.43E-5</v>
      </c>
      <c r="G17" s="7">
        <v>1.1900724963896339E-4</v>
      </c>
      <c r="H17" s="8">
        <v>0.72738790724963898</v>
      </c>
      <c r="I17" s="9">
        <v>2.8600000000000001E-5</v>
      </c>
      <c r="J17" s="7">
        <v>2.718023E-3</v>
      </c>
      <c r="K17" s="7">
        <v>6.7900000000000002E-6</v>
      </c>
      <c r="L17" s="7">
        <v>4.1905160000000002E-4</v>
      </c>
      <c r="M17" s="7">
        <v>7.0200000000000001E-7</v>
      </c>
      <c r="N17" s="7">
        <v>1.5046679999999999</v>
      </c>
      <c r="O17" s="7">
        <v>7.7099999999999998E-4</v>
      </c>
      <c r="P17" s="7">
        <v>3.245889</v>
      </c>
      <c r="Q17" s="7">
        <v>3.7100000000000002E-3</v>
      </c>
      <c r="R17" s="7">
        <v>5.8857889999999996E-4</v>
      </c>
      <c r="S17" s="7">
        <v>1.26E-6</v>
      </c>
      <c r="T17" s="7">
        <v>9.0116689999999999E-3</v>
      </c>
      <c r="U17" s="7">
        <v>6.8800000000000002E-6</v>
      </c>
      <c r="V17" s="7">
        <v>0.11619839999999999</v>
      </c>
      <c r="W17" s="7">
        <v>3.4800000000000001E-6</v>
      </c>
      <c r="X17" s="7">
        <v>8.5358890000000007E-2</v>
      </c>
      <c r="Y17" s="7">
        <v>1.4500000000000001E-6</v>
      </c>
      <c r="Z17" s="7">
        <v>0.73601910000000004</v>
      </c>
      <c r="AA17" s="7">
        <v>2.55E-5</v>
      </c>
      <c r="AB17" s="7">
        <v>8.8360369999999997E-3</v>
      </c>
      <c r="AC17" s="7">
        <v>1.7600000000000001E-5</v>
      </c>
      <c r="AD17" s="7">
        <v>1.3596560000000001E-3</v>
      </c>
      <c r="AE17" s="7">
        <v>2.3499999999999999E-6</v>
      </c>
    </row>
    <row r="18" spans="1:31" s="1" customFormat="1" x14ac:dyDescent="0.25">
      <c r="A18" t="s">
        <v>185</v>
      </c>
      <c r="B18" s="1" t="s">
        <v>52</v>
      </c>
      <c r="C18" s="1" t="s">
        <v>22</v>
      </c>
      <c r="D18" s="1" t="s">
        <v>53</v>
      </c>
      <c r="E18" s="7">
        <v>0.71423389999999998</v>
      </c>
      <c r="F18" s="7">
        <v>8.3699999999999995E-6</v>
      </c>
      <c r="G18" s="7">
        <v>1.1471689274309267E-4</v>
      </c>
      <c r="H18" s="8">
        <v>0.71434861689274309</v>
      </c>
      <c r="I18" s="9">
        <v>1.6739999999999999E-5</v>
      </c>
      <c r="J18" s="7">
        <v>1.1914880000000001E-3</v>
      </c>
      <c r="K18" s="7">
        <v>2.2199999999999999E-6</v>
      </c>
      <c r="L18" s="7">
        <v>2.7650750000000001E-4</v>
      </c>
      <c r="M18" s="7">
        <v>3.9200000000000002E-7</v>
      </c>
      <c r="N18" s="7">
        <v>1.5141249999999999</v>
      </c>
      <c r="O18" s="7">
        <v>5.7499999999999999E-4</v>
      </c>
      <c r="P18" s="7">
        <v>8.2257870000000004</v>
      </c>
      <c r="Q18" s="7">
        <v>1.5599999999999999E-2</v>
      </c>
      <c r="R18" s="7">
        <v>2.495315E-4</v>
      </c>
      <c r="S18" s="7">
        <v>5.5799999999999999E-7</v>
      </c>
      <c r="T18" s="7">
        <v>7.4823420000000003E-3</v>
      </c>
      <c r="U18" s="7">
        <v>2.1799999999999999E-6</v>
      </c>
      <c r="V18" s="7">
        <v>0.115693</v>
      </c>
      <c r="W18" s="7">
        <v>1.4300000000000001E-6</v>
      </c>
      <c r="X18" s="7">
        <v>8.3819119999999997E-2</v>
      </c>
      <c r="Y18" s="7">
        <v>8.85E-7</v>
      </c>
      <c r="Z18" s="7">
        <v>0.7254543</v>
      </c>
      <c r="AA18" s="7">
        <v>1.0699999999999999E-5</v>
      </c>
      <c r="AB18" s="7">
        <v>9.7994980000000002E-3</v>
      </c>
      <c r="AC18" s="7">
        <v>3.4E-5</v>
      </c>
      <c r="AD18" s="7">
        <v>2.274898E-3</v>
      </c>
      <c r="AE18" s="7">
        <v>6.2600000000000002E-6</v>
      </c>
    </row>
    <row r="19" spans="1:31" s="1" customFormat="1" x14ac:dyDescent="0.25">
      <c r="A19" t="s">
        <v>186</v>
      </c>
      <c r="B19" s="1" t="s">
        <v>54</v>
      </c>
      <c r="C19" s="1" t="s">
        <v>22</v>
      </c>
      <c r="D19" s="1" t="s">
        <v>55</v>
      </c>
      <c r="E19" s="7">
        <v>0.70999990000000002</v>
      </c>
      <c r="F19" s="7">
        <v>7.1799999999999999E-6</v>
      </c>
      <c r="G19" s="7">
        <v>1.1058120846044333E-4</v>
      </c>
      <c r="H19" s="8">
        <v>0.71011048120846043</v>
      </c>
      <c r="I19" s="9">
        <v>1.436E-5</v>
      </c>
      <c r="J19" s="7">
        <v>1.065245E-3</v>
      </c>
      <c r="K19" s="7">
        <v>4.4800000000000003E-6</v>
      </c>
      <c r="L19" s="7">
        <v>1.4862560000000001E-4</v>
      </c>
      <c r="M19" s="7">
        <v>2.65E-7</v>
      </c>
      <c r="N19" s="7">
        <v>1.5200659999999999</v>
      </c>
      <c r="O19" s="7">
        <v>6.7400000000000001E-4</v>
      </c>
      <c r="P19" s="7">
        <v>8.4199660000000005</v>
      </c>
      <c r="Q19" s="7">
        <v>1.9900000000000001E-2</v>
      </c>
      <c r="R19" s="7">
        <v>2.2305170000000001E-4</v>
      </c>
      <c r="S19" s="7">
        <v>9.2500000000000004E-7</v>
      </c>
      <c r="T19" s="7">
        <v>7.3542690000000001E-3</v>
      </c>
      <c r="U19" s="7">
        <v>4.6E-6</v>
      </c>
      <c r="V19" s="7">
        <v>0.1156379</v>
      </c>
      <c r="W19" s="7">
        <v>2.8200000000000001E-6</v>
      </c>
      <c r="X19" s="7">
        <v>8.331732E-2</v>
      </c>
      <c r="Y19" s="7">
        <v>9.0299999999999997E-7</v>
      </c>
      <c r="Z19" s="7">
        <v>0.72100299999999995</v>
      </c>
      <c r="AA19" s="7">
        <v>1.6399999999999999E-5</v>
      </c>
      <c r="AB19" s="7">
        <v>8.9696930000000008E-3</v>
      </c>
      <c r="AC19" s="7">
        <v>1.7399999999999999E-5</v>
      </c>
      <c r="AD19" s="7">
        <v>1.2489020000000001E-3</v>
      </c>
      <c r="AE19" s="7">
        <v>4.0600000000000001E-6</v>
      </c>
    </row>
    <row r="20" spans="1:31" s="1" customFormat="1" x14ac:dyDescent="0.25">
      <c r="A20" t="s">
        <v>187</v>
      </c>
      <c r="B20" s="1" t="s">
        <v>56</v>
      </c>
      <c r="C20" s="1" t="s">
        <v>22</v>
      </c>
      <c r="D20" s="1" t="s">
        <v>57</v>
      </c>
      <c r="E20" s="7">
        <v>0.71000680000000005</v>
      </c>
      <c r="F20" s="7">
        <v>6.2400000000000004E-6</v>
      </c>
      <c r="G20" s="7">
        <v>9.9047427808620589E-5</v>
      </c>
      <c r="H20" s="8">
        <v>0.71010584742780869</v>
      </c>
      <c r="I20" s="9">
        <v>1.2480000000000001E-5</v>
      </c>
      <c r="J20" s="7">
        <v>1.2898930000000001E-3</v>
      </c>
      <c r="K20" s="7">
        <v>2.9799999999999998E-6</v>
      </c>
      <c r="L20" s="7">
        <v>4.3652779999999998E-4</v>
      </c>
      <c r="M20" s="7">
        <v>4.03E-7</v>
      </c>
      <c r="N20" s="7">
        <v>1.516187</v>
      </c>
      <c r="O20" s="7">
        <v>5.2999999999999998E-4</v>
      </c>
      <c r="P20" s="7">
        <v>7.1569820000000002</v>
      </c>
      <c r="Q20" s="7">
        <v>1.0699999999999999E-2</v>
      </c>
      <c r="R20" s="7">
        <v>2.7382189999999997E-4</v>
      </c>
      <c r="S20" s="7">
        <v>6.8299999999999996E-7</v>
      </c>
      <c r="T20" s="7">
        <v>7.5801050000000002E-3</v>
      </c>
      <c r="U20" s="7">
        <v>3.0299999999999998E-6</v>
      </c>
      <c r="V20" s="7">
        <v>0.1157189</v>
      </c>
      <c r="W20" s="7">
        <v>1.8700000000000001E-6</v>
      </c>
      <c r="X20" s="7">
        <v>8.3321290000000006E-2</v>
      </c>
      <c r="Y20" s="7">
        <v>8.0699999999999996E-7</v>
      </c>
      <c r="Z20" s="7">
        <v>0.72154470000000004</v>
      </c>
      <c r="AA20" s="7">
        <v>1.04E-5</v>
      </c>
      <c r="AB20" s="7">
        <v>9.2442610000000001E-3</v>
      </c>
      <c r="AC20" s="7">
        <v>1.29E-5</v>
      </c>
      <c r="AD20" s="7">
        <v>3.1251289999999999E-3</v>
      </c>
      <c r="AE20" s="7">
        <v>3.7000000000000002E-6</v>
      </c>
    </row>
    <row r="21" spans="1:31" s="1" customFormat="1" x14ac:dyDescent="0.25">
      <c r="A21" t="s">
        <v>188</v>
      </c>
      <c r="B21" s="1" t="s">
        <v>58</v>
      </c>
      <c r="C21" s="1" t="s">
        <v>22</v>
      </c>
      <c r="D21" s="1" t="s">
        <v>59</v>
      </c>
      <c r="E21" s="7">
        <v>0.71433519999999995</v>
      </c>
      <c r="F21" s="7">
        <v>6.2999999999999998E-6</v>
      </c>
      <c r="G21" s="7">
        <v>9.547664690068301E-5</v>
      </c>
      <c r="H21" s="8">
        <v>0.71443067664690063</v>
      </c>
      <c r="I21" s="9">
        <v>1.26E-5</v>
      </c>
      <c r="J21" s="7">
        <v>8.1463209999999996E-4</v>
      </c>
      <c r="K21" s="7">
        <v>1.84E-6</v>
      </c>
      <c r="L21" s="7">
        <v>2.1204890000000001E-4</v>
      </c>
      <c r="M21" s="7">
        <v>2.2100000000000001E-7</v>
      </c>
      <c r="N21" s="7">
        <v>1.525787</v>
      </c>
      <c r="O21" s="7">
        <v>4.8299999999999998E-4</v>
      </c>
      <c r="P21" s="7">
        <v>12.20894</v>
      </c>
      <c r="Q21" s="7">
        <v>2.12E-2</v>
      </c>
      <c r="R21" s="7">
        <v>1.6734740000000001E-4</v>
      </c>
      <c r="S21" s="7">
        <v>3.34E-7</v>
      </c>
      <c r="T21" s="7">
        <v>7.1025799999999998E-3</v>
      </c>
      <c r="U21" s="7">
        <v>1.73E-6</v>
      </c>
      <c r="V21" s="7">
        <v>0.1155442</v>
      </c>
      <c r="W21" s="7">
        <v>1.0300000000000001E-6</v>
      </c>
      <c r="X21" s="7">
        <v>8.3820759999999994E-2</v>
      </c>
      <c r="Y21" s="7">
        <v>7.4499999999999996E-7</v>
      </c>
      <c r="Z21" s="7">
        <v>0.72618579999999999</v>
      </c>
      <c r="AA21" s="7">
        <v>8.0800000000000006E-6</v>
      </c>
      <c r="AB21" s="7">
        <v>9.9472269999999995E-3</v>
      </c>
      <c r="AC21" s="7">
        <v>3.7200000000000003E-5</v>
      </c>
      <c r="AD21" s="7">
        <v>2.5925290000000001E-3</v>
      </c>
      <c r="AE21" s="7">
        <v>4.1799999999999998E-6</v>
      </c>
    </row>
    <row r="22" spans="1:31" s="1" customFormat="1" x14ac:dyDescent="0.25">
      <c r="A22" t="s">
        <v>164</v>
      </c>
      <c r="B22" s="1" t="s">
        <v>60</v>
      </c>
      <c r="C22" s="1" t="s">
        <v>22</v>
      </c>
      <c r="D22" s="1" t="s">
        <v>61</v>
      </c>
      <c r="E22" s="7">
        <v>0.70868240000000005</v>
      </c>
      <c r="F22" s="7">
        <v>7.3000000000000004E-6</v>
      </c>
      <c r="G22" s="7">
        <v>9.2034597011557249E-5</v>
      </c>
      <c r="H22" s="8">
        <v>0.70877443459701162</v>
      </c>
      <c r="I22" s="9">
        <v>1.4600000000000001E-5</v>
      </c>
      <c r="J22" s="7">
        <v>8.801096E-4</v>
      </c>
      <c r="K22" s="7">
        <v>3.9999999999999998E-6</v>
      </c>
      <c r="L22" s="7">
        <v>3.392825E-4</v>
      </c>
      <c r="M22" s="7">
        <v>2.2100000000000001E-7</v>
      </c>
      <c r="N22" s="7">
        <v>1.5214300000000001</v>
      </c>
      <c r="O22" s="7">
        <v>6.4999999999999997E-4</v>
      </c>
      <c r="P22" s="7">
        <v>10.31132</v>
      </c>
      <c r="Q22" s="7">
        <v>2.41E-2</v>
      </c>
      <c r="R22" s="7">
        <v>1.8225030000000001E-4</v>
      </c>
      <c r="S22" s="7">
        <v>9.2399999999999996E-7</v>
      </c>
      <c r="T22" s="7">
        <v>7.1688439999999997E-3</v>
      </c>
      <c r="U22" s="7">
        <v>4.1500000000000001E-6</v>
      </c>
      <c r="V22" s="7">
        <v>0.1155756</v>
      </c>
      <c r="W22" s="7">
        <v>2.7800000000000001E-6</v>
      </c>
      <c r="X22" s="7">
        <v>8.3162470000000002E-2</v>
      </c>
      <c r="Y22" s="7">
        <v>8.8000000000000004E-7</v>
      </c>
      <c r="Z22" s="7">
        <v>0.72070449999999997</v>
      </c>
      <c r="AA22" s="7">
        <v>1.6099999999999998E-5</v>
      </c>
      <c r="AB22" s="7">
        <v>9.0705390000000007E-3</v>
      </c>
      <c r="AC22" s="7">
        <v>2.1699999999999999E-5</v>
      </c>
      <c r="AD22" s="7">
        <v>3.4977210000000001E-3</v>
      </c>
      <c r="AE22" s="7">
        <v>8.4999999999999999E-6</v>
      </c>
    </row>
    <row r="23" spans="1:31" s="1" customFormat="1" x14ac:dyDescent="0.25">
      <c r="A23" t="s">
        <v>165</v>
      </c>
      <c r="B23" s="1" t="s">
        <v>62</v>
      </c>
      <c r="C23" s="1" t="s">
        <v>22</v>
      </c>
      <c r="D23" s="1" t="s">
        <v>63</v>
      </c>
      <c r="E23" s="7">
        <v>0.70816290000000004</v>
      </c>
      <c r="F23" s="7">
        <v>7.1500000000000002E-6</v>
      </c>
      <c r="G23" s="7">
        <v>8.8716637230576502E-5</v>
      </c>
      <c r="H23" s="8">
        <v>0.70825161663723057</v>
      </c>
      <c r="I23" s="9">
        <v>1.43E-5</v>
      </c>
      <c r="J23" s="7">
        <v>1.16704E-3</v>
      </c>
      <c r="K23" s="7">
        <v>1.13E-6</v>
      </c>
      <c r="L23" s="7">
        <v>2.3397779999999999E-4</v>
      </c>
      <c r="M23" s="7">
        <v>3.1199999999999999E-7</v>
      </c>
      <c r="N23" s="7">
        <v>1.520213</v>
      </c>
      <c r="O23" s="7">
        <v>4.5600000000000003E-4</v>
      </c>
      <c r="P23" s="7">
        <v>8.5259230000000006</v>
      </c>
      <c r="Q23" s="7">
        <v>6.8199999999999997E-3</v>
      </c>
      <c r="R23" s="7">
        <v>2.4420319999999998E-4</v>
      </c>
      <c r="S23" s="7">
        <v>3.7599999999999998E-7</v>
      </c>
      <c r="T23" s="7">
        <v>7.4560420000000004E-3</v>
      </c>
      <c r="U23" s="7">
        <v>1.13E-6</v>
      </c>
      <c r="V23" s="7">
        <v>0.11566949999999999</v>
      </c>
      <c r="W23" s="7">
        <v>1.3E-6</v>
      </c>
      <c r="X23" s="7">
        <v>8.3102099999999998E-2</v>
      </c>
      <c r="Y23" s="7">
        <v>7.3600000000000003E-7</v>
      </c>
      <c r="Z23" s="7">
        <v>0.71925260000000002</v>
      </c>
      <c r="AA23" s="7">
        <v>9.7000000000000003E-6</v>
      </c>
      <c r="AB23" s="7">
        <v>9.9530999999999994E-3</v>
      </c>
      <c r="AC23" s="7">
        <v>8.6899999999999998E-6</v>
      </c>
      <c r="AD23" s="7">
        <v>1.9973030000000002E-3</v>
      </c>
      <c r="AE23" s="7">
        <v>2.8700000000000001E-6</v>
      </c>
    </row>
    <row r="24" spans="1:31" s="1" customFormat="1" x14ac:dyDescent="0.25">
      <c r="A24" t="s">
        <v>166</v>
      </c>
      <c r="B24" s="1" t="s">
        <v>64</v>
      </c>
      <c r="C24" s="1" t="s">
        <v>22</v>
      </c>
      <c r="D24" s="1" t="s">
        <v>65</v>
      </c>
      <c r="E24" s="7">
        <v>0.70865359999999999</v>
      </c>
      <c r="F24" s="7">
        <v>7.5000000000000002E-6</v>
      </c>
      <c r="G24" s="7">
        <v>8.5518293957579392E-5</v>
      </c>
      <c r="H24" s="8">
        <v>0.70873911829395753</v>
      </c>
      <c r="I24" s="9">
        <v>1.5E-5</v>
      </c>
      <c r="J24" s="7">
        <v>8.5568319999999995E-4</v>
      </c>
      <c r="K24" s="7">
        <v>8.8100000000000001E-7</v>
      </c>
      <c r="L24" s="7">
        <v>9.7006949999999998E-5</v>
      </c>
      <c r="M24" s="7">
        <v>2.41E-7</v>
      </c>
      <c r="N24" s="7">
        <v>1.5295099999999999</v>
      </c>
      <c r="O24" s="7">
        <v>4.3100000000000001E-4</v>
      </c>
      <c r="P24" s="7">
        <v>10.2766</v>
      </c>
      <c r="Q24" s="7">
        <v>1.7000000000000001E-2</v>
      </c>
      <c r="R24" s="7">
        <v>1.7754169999999999E-4</v>
      </c>
      <c r="S24" s="7">
        <v>2.7500000000000001E-7</v>
      </c>
      <c r="T24" s="7">
        <v>7.1419580000000003E-3</v>
      </c>
      <c r="U24" s="7">
        <v>8.6300000000000004E-7</v>
      </c>
      <c r="V24" s="7">
        <v>0.11554689999999999</v>
      </c>
      <c r="W24" s="7">
        <v>1.11E-6</v>
      </c>
      <c r="X24" s="7">
        <v>8.3149689999999998E-2</v>
      </c>
      <c r="Y24" s="7">
        <v>8.16E-7</v>
      </c>
      <c r="Z24" s="7">
        <v>0.71995659999999995</v>
      </c>
      <c r="AA24" s="7">
        <v>8.1499999999999999E-6</v>
      </c>
      <c r="AB24" s="7">
        <v>8.7952829999999992E-3</v>
      </c>
      <c r="AC24" s="7">
        <v>1.9199999999999999E-5</v>
      </c>
      <c r="AD24" s="7">
        <v>9.9646390000000004E-4</v>
      </c>
      <c r="AE24" s="7">
        <v>3.18E-6</v>
      </c>
    </row>
    <row r="25" spans="1:31" s="1" customFormat="1" x14ac:dyDescent="0.25">
      <c r="A25" t="s">
        <v>167</v>
      </c>
      <c r="B25" s="1" t="s">
        <v>66</v>
      </c>
      <c r="C25" s="1" t="s">
        <v>32</v>
      </c>
      <c r="D25" s="1" t="s">
        <v>67</v>
      </c>
      <c r="E25" s="7">
        <v>0.70809880000000003</v>
      </c>
      <c r="F25" s="7">
        <v>7.61E-6</v>
      </c>
      <c r="G25" s="7">
        <v>7.6598611690066004E-5</v>
      </c>
      <c r="H25" s="8">
        <v>0.7081753986116901</v>
      </c>
      <c r="I25" s="9">
        <v>1.522E-5</v>
      </c>
      <c r="J25" s="7">
        <v>1.018742E-3</v>
      </c>
      <c r="K25" s="7">
        <v>4.1500000000000001E-6</v>
      </c>
      <c r="L25" s="7">
        <v>1.4447200000000001E-4</v>
      </c>
      <c r="M25" s="7">
        <v>2.5600000000000002E-7</v>
      </c>
      <c r="N25" s="7">
        <v>1.5115190000000001</v>
      </c>
      <c r="O25" s="7">
        <v>4.66E-4</v>
      </c>
      <c r="P25" s="7">
        <v>8.9393860000000007</v>
      </c>
      <c r="Q25" s="7">
        <v>1.1299999999999999E-2</v>
      </c>
      <c r="R25" s="7">
        <v>2.114598E-4</v>
      </c>
      <c r="S25" s="7">
        <v>9.4300000000000001E-7</v>
      </c>
      <c r="T25" s="7">
        <v>7.3103559999999996E-3</v>
      </c>
      <c r="U25" s="7">
        <v>4.1899999999999997E-6</v>
      </c>
      <c r="V25" s="7">
        <v>0.1156454</v>
      </c>
      <c r="W25" s="7">
        <v>1.9599999999999999E-6</v>
      </c>
      <c r="X25" s="7">
        <v>8.3102110000000007E-2</v>
      </c>
      <c r="Y25" s="7">
        <v>7.6700000000000003E-7</v>
      </c>
      <c r="Z25" s="7">
        <v>0.71909129999999999</v>
      </c>
      <c r="AA25" s="7">
        <v>1.33E-5</v>
      </c>
      <c r="AB25" s="7">
        <v>9.1048009999999992E-3</v>
      </c>
      <c r="AC25" s="7">
        <v>2.8799999999999999E-5</v>
      </c>
      <c r="AD25" s="7">
        <v>1.292811E-3</v>
      </c>
      <c r="AE25" s="7">
        <v>2.6199999999999999E-6</v>
      </c>
    </row>
    <row r="26" spans="1:31" s="1" customFormat="1" x14ac:dyDescent="0.25">
      <c r="A26" t="s">
        <v>168</v>
      </c>
      <c r="B26" s="1" t="s">
        <v>69</v>
      </c>
      <c r="C26" s="1" t="s">
        <v>32</v>
      </c>
      <c r="D26" s="1" t="s">
        <v>70</v>
      </c>
      <c r="E26" s="7">
        <v>0.70832660000000003</v>
      </c>
      <c r="F26" s="7">
        <v>5.2800000000000003E-6</v>
      </c>
      <c r="G26" s="7">
        <v>7.3837138058202489E-5</v>
      </c>
      <c r="H26" s="8">
        <v>0.70840043713805823</v>
      </c>
      <c r="I26" s="9">
        <v>1.0560000000000001E-5</v>
      </c>
      <c r="J26" s="7">
        <v>7.3107369999999997E-4</v>
      </c>
      <c r="K26" s="7">
        <v>6.9999999999999997E-7</v>
      </c>
      <c r="L26" s="7">
        <v>7.7605680000000007E-5</v>
      </c>
      <c r="M26" s="7">
        <v>1.5300000000000001E-7</v>
      </c>
      <c r="N26" s="7">
        <v>1.5062709999999999</v>
      </c>
      <c r="O26" s="7">
        <v>4.5899999999999999E-4</v>
      </c>
      <c r="P26" s="7">
        <v>14.80162</v>
      </c>
      <c r="Q26" s="7">
        <v>2.24E-2</v>
      </c>
      <c r="R26" s="7">
        <v>1.4817110000000001E-4</v>
      </c>
      <c r="S26" s="7">
        <v>1.3199999999999999E-7</v>
      </c>
      <c r="T26" s="7">
        <v>7.0239530000000003E-3</v>
      </c>
      <c r="U26" s="7">
        <v>6.6400000000000002E-7</v>
      </c>
      <c r="V26" s="7">
        <v>0.11556900000000001</v>
      </c>
      <c r="W26" s="7">
        <v>1.1000000000000001E-6</v>
      </c>
      <c r="X26" s="7">
        <v>8.3134650000000004E-2</v>
      </c>
      <c r="Y26" s="7">
        <v>8.2699999999999998E-7</v>
      </c>
      <c r="Z26" s="7">
        <v>0.7196089</v>
      </c>
      <c r="AA26" s="7">
        <v>6.8199999999999999E-6</v>
      </c>
      <c r="AB26" s="7">
        <v>1.0812820000000001E-2</v>
      </c>
      <c r="AC26" s="7">
        <v>1.3699999999999999E-5</v>
      </c>
      <c r="AD26" s="7">
        <v>1.147864E-3</v>
      </c>
      <c r="AE26" s="7">
        <v>1.72E-6</v>
      </c>
    </row>
    <row r="27" spans="1:31" s="1" customFormat="1" x14ac:dyDescent="0.25">
      <c r="A27" t="s">
        <v>168</v>
      </c>
      <c r="B27" s="1" t="s">
        <v>71</v>
      </c>
      <c r="C27" s="1" t="s">
        <v>32</v>
      </c>
      <c r="D27" s="1" t="s">
        <v>72</v>
      </c>
      <c r="E27" s="7">
        <v>0.70833120000000005</v>
      </c>
      <c r="F27" s="7">
        <v>5.3000000000000001E-6</v>
      </c>
      <c r="G27" s="7">
        <v>5.114632354962212E-5</v>
      </c>
      <c r="H27" s="8">
        <v>0.70838234632354968</v>
      </c>
      <c r="I27" s="9">
        <v>1.06E-5</v>
      </c>
      <c r="J27" s="7">
        <v>7.3318799999999996E-4</v>
      </c>
      <c r="K27" s="7">
        <v>1.42E-6</v>
      </c>
      <c r="L27" s="7">
        <v>7.1819949999999997E-5</v>
      </c>
      <c r="M27" s="7">
        <v>1.29E-7</v>
      </c>
      <c r="N27" s="7">
        <v>1.5155000000000001</v>
      </c>
      <c r="O27" s="7">
        <v>3.6999999999999999E-4</v>
      </c>
      <c r="P27" s="7">
        <v>15.225680000000001</v>
      </c>
      <c r="Q27" s="7">
        <v>1.3100000000000001E-2</v>
      </c>
      <c r="R27" s="7">
        <v>1.4780279999999999E-4</v>
      </c>
      <c r="S27" s="7">
        <v>2.8200000000000001E-7</v>
      </c>
      <c r="T27" s="7">
        <v>7.0235810000000001E-3</v>
      </c>
      <c r="U27" s="7">
        <v>1.42E-6</v>
      </c>
      <c r="V27" s="7">
        <v>0.1155453</v>
      </c>
      <c r="W27" s="7">
        <v>1.06E-6</v>
      </c>
      <c r="X27" s="7">
        <v>8.3125550000000006E-2</v>
      </c>
      <c r="Y27" s="7">
        <v>7.2600000000000002E-7</v>
      </c>
      <c r="Z27" s="7">
        <v>0.71966799999999997</v>
      </c>
      <c r="AA27" s="7">
        <v>6.5100000000000004E-6</v>
      </c>
      <c r="AB27" s="7">
        <v>1.117376E-2</v>
      </c>
      <c r="AC27" s="7">
        <v>2.3600000000000001E-5</v>
      </c>
      <c r="AD27" s="7">
        <v>1.09384E-3</v>
      </c>
      <c r="AE27" s="7">
        <v>2.0999999999999998E-6</v>
      </c>
    </row>
    <row r="28" spans="1:31" s="1" customFormat="1" x14ac:dyDescent="0.25">
      <c r="A28" t="s">
        <v>169</v>
      </c>
      <c r="B28" s="1" t="s">
        <v>74</v>
      </c>
      <c r="C28" s="1" t="s">
        <v>32</v>
      </c>
      <c r="D28" s="1" t="s">
        <v>75</v>
      </c>
      <c r="E28" s="7">
        <v>0.70768799999999998</v>
      </c>
      <c r="F28" s="7">
        <v>1.11E-5</v>
      </c>
      <c r="G28" s="7">
        <v>7.1175218928061954E-5</v>
      </c>
      <c r="H28" s="8">
        <v>0.70775917521892806</v>
      </c>
      <c r="I28" s="9">
        <v>2.2200000000000001E-5</v>
      </c>
      <c r="J28" s="7">
        <v>1.8555519999999999E-3</v>
      </c>
      <c r="K28" s="7">
        <v>2.2400000000000002E-6</v>
      </c>
      <c r="L28" s="7">
        <v>1.478234E-4</v>
      </c>
      <c r="M28" s="7">
        <v>4.0900000000000002E-7</v>
      </c>
      <c r="N28" s="7">
        <v>1.5136350000000001</v>
      </c>
      <c r="O28" s="7">
        <v>6.4199999999999999E-4</v>
      </c>
      <c r="P28" s="7">
        <v>4.5144289999999998</v>
      </c>
      <c r="Q28" s="7">
        <v>4.5700000000000003E-3</v>
      </c>
      <c r="R28" s="7">
        <v>3.9810060000000001E-4</v>
      </c>
      <c r="S28" s="7">
        <v>5.5499999999999998E-7</v>
      </c>
      <c r="T28" s="7">
        <v>8.1465849999999996E-3</v>
      </c>
      <c r="U28" s="7">
        <v>2.1600000000000001E-6</v>
      </c>
      <c r="V28" s="7">
        <v>0.1159041</v>
      </c>
      <c r="W28" s="7">
        <v>1.7400000000000001E-6</v>
      </c>
      <c r="X28" s="7">
        <v>8.3052130000000002E-2</v>
      </c>
      <c r="Y28" s="7">
        <v>1.4100000000000001E-6</v>
      </c>
      <c r="Z28" s="7">
        <v>0.71706829999999999</v>
      </c>
      <c r="AA28" s="7">
        <v>1.2500000000000001E-5</v>
      </c>
      <c r="AB28" s="7">
        <v>8.364682E-3</v>
      </c>
      <c r="AC28" s="7">
        <v>1.2999999999999999E-5</v>
      </c>
      <c r="AD28" s="7">
        <v>6.6771579999999999E-4</v>
      </c>
      <c r="AE28" s="7">
        <v>1.9599999999999999E-6</v>
      </c>
    </row>
    <row r="29" spans="1:31" s="1" customFormat="1" x14ac:dyDescent="0.25">
      <c r="A29" t="s">
        <v>169</v>
      </c>
      <c r="B29" s="1" t="s">
        <v>76</v>
      </c>
      <c r="C29" s="1" t="s">
        <v>77</v>
      </c>
      <c r="D29" s="1" t="s">
        <v>78</v>
      </c>
      <c r="E29" s="7">
        <v>0.70786230000000006</v>
      </c>
      <c r="F29" s="7">
        <v>5.5899999999999998E-6</v>
      </c>
      <c r="G29" s="7">
        <v>-3.5281010000000017E-5</v>
      </c>
      <c r="H29" s="8">
        <v>0.70782701899</v>
      </c>
      <c r="I29" s="9">
        <v>1.118E-5</v>
      </c>
      <c r="J29" s="7">
        <v>9.9546620000000004E-4</v>
      </c>
      <c r="K29" s="7">
        <v>2.6900000000000001E-6</v>
      </c>
      <c r="L29" s="7">
        <v>9.5390789999999994E-5</v>
      </c>
      <c r="M29" s="7">
        <v>1.7499999999999999E-7</v>
      </c>
      <c r="N29" s="7">
        <v>1.5626690000000001</v>
      </c>
      <c r="O29" s="7">
        <v>3.9300000000000001E-4</v>
      </c>
      <c r="P29" s="7">
        <v>14.51975</v>
      </c>
      <c r="Q29" s="7">
        <v>2.75E-2</v>
      </c>
      <c r="R29" s="7">
        <v>1.8721349999999999E-4</v>
      </c>
      <c r="S29" s="7">
        <v>5.7599999999999997E-7</v>
      </c>
      <c r="T29" s="7">
        <v>7.2720520000000002E-3</v>
      </c>
      <c r="U29" s="7">
        <v>2.7E-6</v>
      </c>
      <c r="V29" s="7">
        <v>0.11550290000000001</v>
      </c>
      <c r="W29" s="7">
        <v>1.3200000000000001E-6</v>
      </c>
      <c r="X29" s="7">
        <v>8.3025840000000004E-2</v>
      </c>
      <c r="Y29" s="7">
        <v>6.4600000000000004E-7</v>
      </c>
      <c r="Z29" s="7">
        <v>0.71915379999999995</v>
      </c>
      <c r="AA29" s="7">
        <v>8.9400000000000008E-6</v>
      </c>
      <c r="AB29" s="7">
        <v>1.4456770000000001E-2</v>
      </c>
      <c r="AC29" s="7">
        <v>1.5299999999999999E-5</v>
      </c>
      <c r="AD29" s="7">
        <v>1.38481E-3</v>
      </c>
      <c r="AE29" s="7">
        <v>2.3199999999999998E-6</v>
      </c>
    </row>
    <row r="30" spans="1:31" s="1" customFormat="1" x14ac:dyDescent="0.25">
      <c r="A30" t="s">
        <v>170</v>
      </c>
      <c r="B30" s="1" t="s">
        <v>79</v>
      </c>
      <c r="C30" s="1" t="s">
        <v>32</v>
      </c>
      <c r="D30" s="1" t="s">
        <v>80</v>
      </c>
      <c r="E30" s="7">
        <v>0.70838140000000005</v>
      </c>
      <c r="F30" s="7">
        <v>6.81E-6</v>
      </c>
      <c r="G30" s="7">
        <v>6.8609265238101725E-5</v>
      </c>
      <c r="H30" s="8">
        <v>0.70845000926523816</v>
      </c>
      <c r="I30" s="9">
        <v>1.362E-5</v>
      </c>
      <c r="J30" s="7">
        <v>1.2765299999999999E-3</v>
      </c>
      <c r="K30" s="7">
        <v>6.8600000000000004E-6</v>
      </c>
      <c r="L30" s="7">
        <v>3.1400850000000001E-4</v>
      </c>
      <c r="M30" s="7">
        <v>2.9900000000000002E-7</v>
      </c>
      <c r="N30" s="7">
        <v>1.506119</v>
      </c>
      <c r="O30" s="7">
        <v>4.4000000000000002E-4</v>
      </c>
      <c r="P30" s="7">
        <v>7.7594880000000002</v>
      </c>
      <c r="Q30" s="7">
        <v>2.1499999999999998E-2</v>
      </c>
      <c r="R30" s="7">
        <v>2.6533969999999998E-4</v>
      </c>
      <c r="S30" s="7">
        <v>1.4899999999999999E-6</v>
      </c>
      <c r="T30" s="7">
        <v>7.5697680000000002E-3</v>
      </c>
      <c r="U30" s="7">
        <v>6.9299999999999997E-6</v>
      </c>
      <c r="V30" s="7">
        <v>0.11574189999999999</v>
      </c>
      <c r="W30" s="7">
        <v>3.0400000000000001E-6</v>
      </c>
      <c r="X30" s="7">
        <v>8.3141199999999998E-2</v>
      </c>
      <c r="Y30" s="7">
        <v>9.3500000000000005E-7</v>
      </c>
      <c r="Z30" s="7">
        <v>0.71941049999999995</v>
      </c>
      <c r="AA30" s="7">
        <v>1.5500000000000001E-5</v>
      </c>
      <c r="AB30" s="7">
        <v>9.8981750000000004E-3</v>
      </c>
      <c r="AC30" s="7">
        <v>2.7100000000000001E-5</v>
      </c>
      <c r="AD30" s="7">
        <v>2.4355689999999998E-3</v>
      </c>
      <c r="AE30" s="7">
        <v>6.1800000000000001E-6</v>
      </c>
    </row>
    <row r="31" spans="1:31" s="1" customFormat="1" x14ac:dyDescent="0.25">
      <c r="A31" t="s">
        <v>171</v>
      </c>
      <c r="B31" s="1" t="s">
        <v>81</v>
      </c>
      <c r="C31" s="1" t="s">
        <v>32</v>
      </c>
      <c r="D31" s="1" t="s">
        <v>82</v>
      </c>
      <c r="E31" s="7">
        <v>0.70831319999999998</v>
      </c>
      <c r="F31" s="7">
        <v>8.8799999999999997E-6</v>
      </c>
      <c r="G31" s="7">
        <v>6.6135817316837097E-5</v>
      </c>
      <c r="H31" s="8">
        <v>0.70837933581731682</v>
      </c>
      <c r="I31" s="9">
        <v>1.7759999999999999E-5</v>
      </c>
      <c r="J31" s="7">
        <v>1.4570410000000001E-3</v>
      </c>
      <c r="K31" s="7">
        <v>3.9700000000000001E-6</v>
      </c>
      <c r="L31" s="7">
        <v>4.0517679999999999E-4</v>
      </c>
      <c r="M31" s="7">
        <v>3.3099999999999999E-7</v>
      </c>
      <c r="N31" s="7">
        <v>1.509782</v>
      </c>
      <c r="O31" s="7">
        <v>5.3200000000000003E-4</v>
      </c>
      <c r="P31" s="7">
        <v>6.6053540000000002</v>
      </c>
      <c r="Q31" s="7">
        <v>1.14E-2</v>
      </c>
      <c r="R31" s="7">
        <v>3.0457969999999999E-4</v>
      </c>
      <c r="S31" s="7">
        <v>8.0699999999999996E-7</v>
      </c>
      <c r="T31" s="7">
        <v>7.7492339999999998E-3</v>
      </c>
      <c r="U31" s="7">
        <v>3.9400000000000004E-6</v>
      </c>
      <c r="V31" s="7">
        <v>0.1157893</v>
      </c>
      <c r="W31" s="7">
        <v>1.66E-6</v>
      </c>
      <c r="X31" s="7">
        <v>8.3129099999999997E-2</v>
      </c>
      <c r="Y31" s="7">
        <v>9.540000000000001E-7</v>
      </c>
      <c r="Z31" s="7">
        <v>0.71933860000000005</v>
      </c>
      <c r="AA31" s="7">
        <v>1.3900000000000001E-5</v>
      </c>
      <c r="AB31" s="7">
        <v>9.6309240000000008E-3</v>
      </c>
      <c r="AC31" s="7">
        <v>4.0599999999999998E-5</v>
      </c>
      <c r="AD31" s="7">
        <v>2.6807139999999998E-3</v>
      </c>
      <c r="AE31" s="7">
        <v>5.3800000000000002E-6</v>
      </c>
    </row>
    <row r="32" spans="1:31" s="1" customFormat="1" x14ac:dyDescent="0.25">
      <c r="A32" t="s">
        <v>172</v>
      </c>
      <c r="B32" s="1" t="s">
        <v>83</v>
      </c>
      <c r="C32" s="1" t="s">
        <v>32</v>
      </c>
      <c r="D32" s="1" t="s">
        <v>84</v>
      </c>
      <c r="E32" s="7">
        <v>0.70818970000000003</v>
      </c>
      <c r="F32" s="7">
        <v>8.4800000000000001E-6</v>
      </c>
      <c r="G32" s="7">
        <v>5.9237755514281537E-5</v>
      </c>
      <c r="H32" s="8">
        <v>0.70824893775551434</v>
      </c>
      <c r="I32" s="9">
        <v>1.696E-5</v>
      </c>
      <c r="J32" s="7">
        <v>1.5415190000000001E-3</v>
      </c>
      <c r="K32" s="7">
        <v>3.3400000000000002E-6</v>
      </c>
      <c r="L32" s="7">
        <v>1.303628E-3</v>
      </c>
      <c r="M32" s="7">
        <v>5.4199999999999996E-7</v>
      </c>
      <c r="N32" s="7">
        <v>1.5087980000000001</v>
      </c>
      <c r="O32" s="7">
        <v>8.2299999999999995E-4</v>
      </c>
      <c r="P32" s="7">
        <v>5.7502740000000001</v>
      </c>
      <c r="Q32" s="7">
        <v>8.9499999999999996E-3</v>
      </c>
      <c r="R32" s="7">
        <v>3.2512390000000001E-4</v>
      </c>
      <c r="S32" s="7">
        <v>7.7199999999999998E-7</v>
      </c>
      <c r="T32" s="7">
        <v>7.8339740000000005E-3</v>
      </c>
      <c r="U32" s="7">
        <v>3.49E-6</v>
      </c>
      <c r="V32" s="7">
        <v>0.1158164</v>
      </c>
      <c r="W32" s="7">
        <v>2.7599999999999998E-6</v>
      </c>
      <c r="X32" s="7">
        <v>8.3116830000000003E-2</v>
      </c>
      <c r="Y32" s="7">
        <v>1.13E-6</v>
      </c>
      <c r="Z32" s="7">
        <v>0.72214149999999999</v>
      </c>
      <c r="AA32" s="7">
        <v>1.5400000000000002E-5</v>
      </c>
      <c r="AB32" s="7">
        <v>8.866812E-3</v>
      </c>
      <c r="AC32" s="7">
        <v>1.08E-5</v>
      </c>
      <c r="AD32" s="7">
        <v>7.5072919999999996E-3</v>
      </c>
      <c r="AE32" s="7">
        <v>1.0699999999999999E-5</v>
      </c>
    </row>
    <row r="33" spans="1:31" s="1" customFormat="1" x14ac:dyDescent="0.25">
      <c r="A33" t="s">
        <v>173</v>
      </c>
      <c r="B33" s="1" t="s">
        <v>85</v>
      </c>
      <c r="C33" s="1" t="s">
        <v>86</v>
      </c>
      <c r="D33" s="1" t="s">
        <v>87</v>
      </c>
      <c r="E33" s="7">
        <v>0.70830040000000005</v>
      </c>
      <c r="F33" s="7">
        <v>7.9400000000000002E-6</v>
      </c>
      <c r="G33" s="7">
        <v>0</v>
      </c>
      <c r="H33" s="8">
        <v>0.70830040000000005</v>
      </c>
      <c r="I33" s="9">
        <v>1.588E-5</v>
      </c>
      <c r="J33" s="7">
        <v>1.0571770000000001E-3</v>
      </c>
      <c r="K33" s="7">
        <v>1.2699999999999999E-6</v>
      </c>
      <c r="L33" s="7">
        <v>2.1167169999999999E-4</v>
      </c>
      <c r="M33" s="7">
        <v>1.9399999999999999E-7</v>
      </c>
      <c r="N33" s="7">
        <v>1.5430060000000001</v>
      </c>
      <c r="O33" s="7">
        <v>6.3000000000000003E-4</v>
      </c>
      <c r="P33" s="7">
        <v>9.921087</v>
      </c>
      <c r="Q33" s="7">
        <v>1.5900000000000001E-2</v>
      </c>
      <c r="R33" s="7">
        <v>2.0885939999999999E-4</v>
      </c>
      <c r="S33" s="7">
        <v>3.3999999999999997E-7</v>
      </c>
      <c r="T33" s="7">
        <v>7.339407E-3</v>
      </c>
      <c r="U33" s="7">
        <v>1.3E-6</v>
      </c>
      <c r="V33" s="7">
        <v>0.11557480000000001</v>
      </c>
      <c r="W33" s="7">
        <v>1.75E-6</v>
      </c>
      <c r="X33" s="7">
        <v>8.3097889999999994E-2</v>
      </c>
      <c r="Y33" s="7">
        <v>9.7499999999999998E-7</v>
      </c>
      <c r="Z33" s="7">
        <v>0.71970940000000005</v>
      </c>
      <c r="AA33" s="7">
        <v>1.11E-5</v>
      </c>
      <c r="AB33" s="7">
        <v>1.048176E-2</v>
      </c>
      <c r="AC33" s="7">
        <v>1.17E-5</v>
      </c>
      <c r="AD33" s="7">
        <v>2.0935649999999999E-3</v>
      </c>
      <c r="AE33" s="7">
        <v>4.4599999999999996E-6</v>
      </c>
    </row>
    <row r="34" spans="1:31" s="1" customFormat="1" x14ac:dyDescent="0.25">
      <c r="A34" t="s">
        <v>174</v>
      </c>
      <c r="B34" s="1" t="s">
        <v>88</v>
      </c>
      <c r="C34" s="1" t="s">
        <v>32</v>
      </c>
      <c r="D34" s="1" t="s">
        <v>89</v>
      </c>
      <c r="E34" s="7">
        <v>0.70813440000000005</v>
      </c>
      <c r="F34" s="7">
        <v>8.5399999999999996E-6</v>
      </c>
      <c r="G34" s="7">
        <v>5.5043559204386994E-5</v>
      </c>
      <c r="H34" s="8">
        <v>0.70818944355920443</v>
      </c>
      <c r="I34" s="9">
        <v>1.7079999999999999E-5</v>
      </c>
      <c r="J34" s="7">
        <v>1.4327649999999999E-3</v>
      </c>
      <c r="K34" s="7">
        <v>1.39E-6</v>
      </c>
      <c r="L34" s="7">
        <v>3.5604449999999998E-4</v>
      </c>
      <c r="M34" s="7">
        <v>4.4099999999999999E-7</v>
      </c>
      <c r="N34" s="7">
        <v>1.515096</v>
      </c>
      <c r="O34" s="7">
        <v>5.9000000000000003E-4</v>
      </c>
      <c r="P34" s="7">
        <v>6.462453</v>
      </c>
      <c r="Q34" s="7">
        <v>2.5999999999999999E-2</v>
      </c>
      <c r="R34" s="7">
        <v>3.0079059999999999E-4</v>
      </c>
      <c r="S34" s="7">
        <v>4.2E-7</v>
      </c>
      <c r="T34" s="7">
        <v>7.7233040000000003E-3</v>
      </c>
      <c r="U34" s="7">
        <v>1.3200000000000001E-6</v>
      </c>
      <c r="V34" s="7">
        <v>0.1157667</v>
      </c>
      <c r="W34" s="7">
        <v>1.4100000000000001E-6</v>
      </c>
      <c r="X34" s="7">
        <v>8.3102049999999997E-2</v>
      </c>
      <c r="Y34" s="7">
        <v>1.04E-6</v>
      </c>
      <c r="Z34" s="7">
        <v>0.71906939999999997</v>
      </c>
      <c r="AA34" s="7">
        <v>8.8599999999999999E-6</v>
      </c>
      <c r="AB34" s="7">
        <v>9.2664240000000005E-3</v>
      </c>
      <c r="AC34" s="7">
        <v>4.1499999999999999E-5</v>
      </c>
      <c r="AD34" s="7">
        <v>2.3059840000000001E-3</v>
      </c>
      <c r="AE34" s="7">
        <v>9.1400000000000006E-6</v>
      </c>
    </row>
    <row r="35" spans="1:31" s="1" customFormat="1" x14ac:dyDescent="0.25">
      <c r="A35" t="s">
        <v>175</v>
      </c>
      <c r="B35" s="1" t="s">
        <v>90</v>
      </c>
      <c r="C35" s="1" t="s">
        <v>91</v>
      </c>
      <c r="D35" s="1" t="s">
        <v>92</v>
      </c>
      <c r="E35" s="7">
        <v>0.70824969999999998</v>
      </c>
      <c r="F35" s="7">
        <v>8.3499999999999997E-6</v>
      </c>
      <c r="G35" s="7">
        <v>6.3157470000000025E-5</v>
      </c>
      <c r="H35" s="8">
        <v>0.70831285746999995</v>
      </c>
      <c r="I35" s="9">
        <v>1.6699999999999999E-5</v>
      </c>
      <c r="J35" s="7">
        <v>2.714003E-3</v>
      </c>
      <c r="K35" s="7">
        <v>6.99E-6</v>
      </c>
      <c r="L35" s="7">
        <v>1.0912680000000001E-3</v>
      </c>
      <c r="M35" s="7">
        <v>7.7400000000000002E-7</v>
      </c>
      <c r="N35" s="7">
        <v>1.490991</v>
      </c>
      <c r="O35" s="7">
        <v>7.3399999999999995E-4</v>
      </c>
      <c r="P35" s="7">
        <v>4.9604220000000003</v>
      </c>
      <c r="Q35" s="7">
        <v>9.0200000000000002E-3</v>
      </c>
      <c r="R35" s="7">
        <v>5.6460129999999996E-4</v>
      </c>
      <c r="S35" s="7">
        <v>1.5400000000000001E-6</v>
      </c>
      <c r="T35" s="7">
        <v>9.0115239999999999E-3</v>
      </c>
      <c r="U35" s="7">
        <v>7.0500000000000003E-6</v>
      </c>
      <c r="V35" s="7">
        <v>0.11623219999999999</v>
      </c>
      <c r="W35" s="7">
        <v>3.1700000000000001E-6</v>
      </c>
      <c r="X35" s="7">
        <v>8.3139400000000002E-2</v>
      </c>
      <c r="Y35" s="7">
        <v>1.17E-6</v>
      </c>
      <c r="Z35" s="7">
        <v>0.71902489999999997</v>
      </c>
      <c r="AA35" s="7">
        <v>1.84E-5</v>
      </c>
      <c r="AB35" s="7">
        <v>1.3384109999999999E-2</v>
      </c>
      <c r="AC35" s="7">
        <v>3.2700000000000002E-5</v>
      </c>
      <c r="AD35" s="7">
        <v>5.3901490000000003E-3</v>
      </c>
      <c r="AE35" s="7">
        <v>1.6200000000000001E-5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0F48-AA2A-BC4D-9B49-7F6B52520CD0}">
  <dimension ref="A2:AH68"/>
  <sheetViews>
    <sheetView topLeftCell="A15" zoomScale="55" zoomScaleNormal="55" workbookViewId="0">
      <selection activeCell="D45" sqref="D45"/>
    </sheetView>
  </sheetViews>
  <sheetFormatPr defaultColWidth="9.125" defaultRowHeight="15.75" x14ac:dyDescent="0.25"/>
  <cols>
    <col min="1" max="1" width="26" style="1" bestFit="1" customWidth="1"/>
    <col min="2" max="2" width="29.5" style="1" bestFit="1" customWidth="1"/>
    <col min="3" max="3" width="9.125" style="1"/>
    <col min="4" max="4" width="12.125" style="1" bestFit="1" customWidth="1"/>
    <col min="5" max="5" width="13.125" style="1" bestFit="1" customWidth="1"/>
    <col min="6" max="7" width="9.125" style="1"/>
    <col min="8" max="8" width="12" style="1" bestFit="1" customWidth="1"/>
    <col min="9" max="16384" width="9.125" style="1"/>
  </cols>
  <sheetData>
    <row r="2" spans="1:33" x14ac:dyDescent="0.25">
      <c r="F2" s="2"/>
      <c r="G2" s="10"/>
      <c r="H2" s="4" t="s">
        <v>0</v>
      </c>
      <c r="I2" s="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x14ac:dyDescent="0.25">
      <c r="A3" s="5" t="s">
        <v>93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11" t="s">
        <v>7</v>
      </c>
      <c r="H3" s="4" t="s">
        <v>8</v>
      </c>
      <c r="I3" s="4" t="s">
        <v>9</v>
      </c>
      <c r="J3" s="5" t="s">
        <v>10</v>
      </c>
      <c r="K3" s="5" t="s">
        <v>6</v>
      </c>
      <c r="L3" s="5" t="s">
        <v>11</v>
      </c>
      <c r="M3" s="5" t="s">
        <v>6</v>
      </c>
      <c r="N3" s="5" t="s">
        <v>12</v>
      </c>
      <c r="O3" s="5" t="s">
        <v>6</v>
      </c>
      <c r="P3" s="5" t="s">
        <v>13</v>
      </c>
      <c r="Q3" s="5" t="s">
        <v>6</v>
      </c>
      <c r="R3" s="5" t="s">
        <v>14</v>
      </c>
      <c r="S3" s="5" t="s">
        <v>6</v>
      </c>
      <c r="T3" s="5" t="s">
        <v>15</v>
      </c>
      <c r="U3" s="5" t="s">
        <v>6</v>
      </c>
      <c r="V3" s="5" t="s">
        <v>16</v>
      </c>
      <c r="W3" s="5" t="s">
        <v>6</v>
      </c>
      <c r="X3" s="5" t="s">
        <v>17</v>
      </c>
      <c r="Y3" s="5" t="s">
        <v>6</v>
      </c>
      <c r="Z3" s="5" t="s">
        <v>18</v>
      </c>
      <c r="AA3" s="5" t="s">
        <v>6</v>
      </c>
      <c r="AB3" s="5" t="s">
        <v>19</v>
      </c>
      <c r="AC3" s="5" t="s">
        <v>6</v>
      </c>
      <c r="AD3" s="5" t="s">
        <v>20</v>
      </c>
      <c r="AE3" s="5" t="s">
        <v>6</v>
      </c>
      <c r="AF3" s="5"/>
    </row>
    <row r="4" spans="1:33" x14ac:dyDescent="0.25">
      <c r="A4" s="1">
        <v>987</v>
      </c>
      <c r="B4" s="1" t="s">
        <v>94</v>
      </c>
      <c r="C4" s="1" t="s">
        <v>22</v>
      </c>
      <c r="D4" s="1" t="s">
        <v>95</v>
      </c>
      <c r="E4" s="7">
        <v>0.71000839999999998</v>
      </c>
      <c r="F4" s="7">
        <v>7.3300000000000001E-6</v>
      </c>
      <c r="G4" s="7">
        <v>2.3908274956866115E-4</v>
      </c>
      <c r="H4" s="8">
        <v>0.71024748274956861</v>
      </c>
      <c r="I4" s="9">
        <v>1.466E-5</v>
      </c>
      <c r="J4" s="7">
        <v>7.5907909999999999E-4</v>
      </c>
      <c r="K4" s="7">
        <v>1.1400000000000001E-6</v>
      </c>
      <c r="L4" s="7">
        <v>1.115124E-4</v>
      </c>
      <c r="M4" s="7">
        <v>3.5499999999999999E-7</v>
      </c>
      <c r="N4" s="7">
        <v>1.569175</v>
      </c>
      <c r="O4" s="7">
        <v>4.4900000000000002E-4</v>
      </c>
      <c r="P4" s="7">
        <v>10.374790000000001</v>
      </c>
      <c r="Q4" s="7">
        <v>4.8899999999999999E-2</v>
      </c>
      <c r="R4" s="7">
        <v>1.6260999999999999E-4</v>
      </c>
      <c r="S4" s="7">
        <v>3.0499999999999999E-7</v>
      </c>
      <c r="T4" s="7">
        <v>7.0333660000000001E-3</v>
      </c>
      <c r="U4" s="7">
        <v>1.2699999999999999E-6</v>
      </c>
      <c r="V4" s="7">
        <v>0.1154115</v>
      </c>
      <c r="W4" s="7">
        <v>1.2899999999999999E-6</v>
      </c>
      <c r="X4" s="7">
        <v>8.3271139999999993E-2</v>
      </c>
      <c r="Y4" s="7">
        <v>8.71E-7</v>
      </c>
      <c r="Z4" s="7">
        <v>0.72190920000000003</v>
      </c>
      <c r="AA4" s="7">
        <v>9.3600000000000002E-6</v>
      </c>
      <c r="AB4" s="7">
        <v>7.8617349999999999E-3</v>
      </c>
      <c r="AC4" s="7">
        <v>3.5800000000000003E-5</v>
      </c>
      <c r="AD4" s="7">
        <v>1.1591959999999999E-3</v>
      </c>
      <c r="AE4" s="7">
        <v>4.78E-6</v>
      </c>
    </row>
    <row r="5" spans="1:33" x14ac:dyDescent="0.25">
      <c r="A5" s="1">
        <v>987</v>
      </c>
      <c r="B5" s="1" t="s">
        <v>94</v>
      </c>
      <c r="C5" s="1" t="s">
        <v>22</v>
      </c>
      <c r="D5" s="1" t="s">
        <v>96</v>
      </c>
      <c r="E5" s="7">
        <v>0.7100128</v>
      </c>
      <c r="F5" s="7">
        <v>7.3100000000000003E-6</v>
      </c>
      <c r="G5" s="7">
        <v>2.3046352404746401E-4</v>
      </c>
      <c r="H5" s="8">
        <v>0.71024326352404743</v>
      </c>
      <c r="I5" s="9">
        <v>1.4620000000000001E-5</v>
      </c>
      <c r="J5" s="7">
        <v>7.5853900000000002E-4</v>
      </c>
      <c r="K5" s="7">
        <v>1.4300000000000001E-6</v>
      </c>
      <c r="L5" s="7">
        <v>1.1700109999999999E-4</v>
      </c>
      <c r="M5" s="7">
        <v>4.2E-7</v>
      </c>
      <c r="N5" s="7">
        <v>1.570336</v>
      </c>
      <c r="O5" s="7">
        <v>5.3899999999999998E-4</v>
      </c>
      <c r="P5" s="7">
        <v>9.6108239999999991</v>
      </c>
      <c r="Q5" s="7">
        <v>1.4200000000000001E-2</v>
      </c>
      <c r="R5" s="7">
        <v>1.6352669999999999E-4</v>
      </c>
      <c r="S5" s="7">
        <v>3.4200000000000002E-7</v>
      </c>
      <c r="T5" s="7">
        <v>7.0322070000000004E-3</v>
      </c>
      <c r="U5" s="7">
        <v>1.3599999999999999E-6</v>
      </c>
      <c r="V5" s="7">
        <v>0.1154078</v>
      </c>
      <c r="W5" s="7">
        <v>1.5099999999999999E-6</v>
      </c>
      <c r="X5" s="7">
        <v>8.3271079999999997E-2</v>
      </c>
      <c r="Y5" s="7">
        <v>9.0999999999999997E-7</v>
      </c>
      <c r="Z5" s="7">
        <v>0.72192880000000004</v>
      </c>
      <c r="AA5" s="7">
        <v>1.06E-5</v>
      </c>
      <c r="AB5" s="7">
        <v>7.3010239999999997E-3</v>
      </c>
      <c r="AC5" s="7">
        <v>9.9699999999999994E-6</v>
      </c>
      <c r="AD5" s="7">
        <v>1.127245E-3</v>
      </c>
      <c r="AE5" s="7">
        <v>3.8399999999999997E-6</v>
      </c>
    </row>
    <row r="6" spans="1:33" x14ac:dyDescent="0.25">
      <c r="A6" s="1">
        <v>987</v>
      </c>
      <c r="B6" s="1" t="s">
        <v>94</v>
      </c>
      <c r="C6" s="1" t="s">
        <v>22</v>
      </c>
      <c r="D6" s="1" t="s">
        <v>97</v>
      </c>
      <c r="E6" s="7">
        <v>0.71007609999999999</v>
      </c>
      <c r="F6" s="7">
        <v>7.8399999999999995E-6</v>
      </c>
      <c r="G6" s="7">
        <v>1.7822962572380338E-4</v>
      </c>
      <c r="H6" s="8">
        <v>0.71025432962572377</v>
      </c>
      <c r="I6" s="9">
        <v>1.5679999999999999E-5</v>
      </c>
      <c r="J6" s="7">
        <v>7.7404700000000004E-4</v>
      </c>
      <c r="K6" s="7">
        <v>1.22E-6</v>
      </c>
      <c r="L6" s="7">
        <v>9.567818E-5</v>
      </c>
      <c r="M6" s="7">
        <v>3.4200000000000002E-7</v>
      </c>
      <c r="N6" s="7">
        <v>1.539582</v>
      </c>
      <c r="O6" s="7">
        <v>4.9700000000000005E-4</v>
      </c>
      <c r="P6" s="7">
        <v>10.678850000000001</v>
      </c>
      <c r="Q6" s="7">
        <v>6.7500000000000004E-2</v>
      </c>
      <c r="R6" s="7">
        <v>1.642511E-4</v>
      </c>
      <c r="S6" s="7">
        <v>3.8299999999999998E-7</v>
      </c>
      <c r="T6" s="7">
        <v>7.057598E-3</v>
      </c>
      <c r="U6" s="7">
        <v>1.31E-6</v>
      </c>
      <c r="V6" s="7">
        <v>0.1154949</v>
      </c>
      <c r="W6" s="7">
        <v>1.37E-6</v>
      </c>
      <c r="X6" s="7">
        <v>8.3308110000000005E-2</v>
      </c>
      <c r="Y6" s="7">
        <v>8.8599999999999997E-7</v>
      </c>
      <c r="Z6" s="7">
        <v>0.72164189999999995</v>
      </c>
      <c r="AA6" s="7">
        <v>1.08E-5</v>
      </c>
      <c r="AB6" s="7">
        <v>8.2523200000000005E-3</v>
      </c>
      <c r="AC6" s="7">
        <v>4.3699999999999998E-5</v>
      </c>
      <c r="AD6" s="7">
        <v>1.024545E-3</v>
      </c>
      <c r="AE6" s="7">
        <v>6.4500000000000001E-6</v>
      </c>
    </row>
    <row r="7" spans="1:33" x14ac:dyDescent="0.25">
      <c r="A7" s="1">
        <v>987</v>
      </c>
      <c r="B7" s="1" t="s">
        <v>94</v>
      </c>
      <c r="C7" s="1" t="s">
        <v>22</v>
      </c>
      <c r="D7" s="1" t="s">
        <v>98</v>
      </c>
      <c r="E7" s="7">
        <v>0.71010130000000005</v>
      </c>
      <c r="F7" s="7">
        <v>5.5799999999999999E-6</v>
      </c>
      <c r="G7" s="7">
        <v>1.3783439100369249E-4</v>
      </c>
      <c r="H7" s="8">
        <v>0.71023913439100372</v>
      </c>
      <c r="I7" s="9">
        <v>1.116E-5</v>
      </c>
      <c r="J7" s="7">
        <v>8.3405869999999996E-4</v>
      </c>
      <c r="K7" s="7">
        <v>1.2100000000000001E-6</v>
      </c>
      <c r="L7" s="7">
        <v>7.9318000000000002E-5</v>
      </c>
      <c r="M7" s="7">
        <v>1.99E-7</v>
      </c>
      <c r="N7" s="7">
        <v>1.5267569999999999</v>
      </c>
      <c r="O7" s="7">
        <v>4.1199999999999999E-4</v>
      </c>
      <c r="P7" s="7">
        <v>11.60798</v>
      </c>
      <c r="Q7" s="7">
        <v>2.52E-2</v>
      </c>
      <c r="R7" s="7">
        <v>1.7369330000000001E-4</v>
      </c>
      <c r="S7" s="7">
        <v>2.6800000000000002E-7</v>
      </c>
      <c r="T7" s="7">
        <v>7.121184E-3</v>
      </c>
      <c r="U7" s="7">
        <v>1.1799999999999999E-6</v>
      </c>
      <c r="V7" s="7">
        <v>0.11554730000000001</v>
      </c>
      <c r="W7" s="7">
        <v>1.0300000000000001E-6</v>
      </c>
      <c r="X7" s="7">
        <v>8.3322679999999996E-2</v>
      </c>
      <c r="Y7" s="7">
        <v>6.0999999999999998E-7</v>
      </c>
      <c r="Z7" s="7">
        <v>0.72138409999999997</v>
      </c>
      <c r="AA7" s="7">
        <v>6.9700000000000002E-6</v>
      </c>
      <c r="AB7" s="7">
        <v>9.6591139999999999E-3</v>
      </c>
      <c r="AC7" s="7">
        <v>3.5200000000000002E-5</v>
      </c>
      <c r="AD7" s="7">
        <v>9.1732999999999995E-4</v>
      </c>
      <c r="AE7" s="7">
        <v>3.2600000000000001E-6</v>
      </c>
    </row>
    <row r="8" spans="1:33" x14ac:dyDescent="0.25">
      <c r="A8" s="1">
        <v>987</v>
      </c>
      <c r="B8" s="1" t="s">
        <v>94</v>
      </c>
      <c r="C8" s="1" t="s">
        <v>22</v>
      </c>
      <c r="D8" s="1" t="s">
        <v>99</v>
      </c>
      <c r="E8" s="7">
        <v>0.71015609999999996</v>
      </c>
      <c r="F8" s="7">
        <v>6.72E-6</v>
      </c>
      <c r="G8" s="7">
        <v>1.0659462065414344E-4</v>
      </c>
      <c r="H8" s="8">
        <v>0.71026269462065406</v>
      </c>
      <c r="I8" s="9">
        <v>1.344E-5</v>
      </c>
      <c r="J8" s="7">
        <v>9.1858290000000002E-4</v>
      </c>
      <c r="K8" s="7">
        <v>8.16E-7</v>
      </c>
      <c r="L8" s="7">
        <v>7.1117119999999999E-5</v>
      </c>
      <c r="M8" s="7">
        <v>2.16E-7</v>
      </c>
      <c r="N8" s="7">
        <v>1.5182880000000001</v>
      </c>
      <c r="O8" s="7">
        <v>4.1899999999999999E-4</v>
      </c>
      <c r="P8" s="7">
        <v>11.23339</v>
      </c>
      <c r="Q8" s="7">
        <v>1.44E-2</v>
      </c>
      <c r="R8" s="7">
        <v>1.8974660000000001E-4</v>
      </c>
      <c r="S8" s="7">
        <v>2.5199999999999998E-7</v>
      </c>
      <c r="T8" s="7">
        <v>7.2082120000000003E-3</v>
      </c>
      <c r="U8" s="7">
        <v>8.2799999999999995E-7</v>
      </c>
      <c r="V8" s="7">
        <v>0.1155958</v>
      </c>
      <c r="W8" s="7">
        <v>9.8400000000000002E-7</v>
      </c>
      <c r="X8" s="7">
        <v>8.3336540000000001E-2</v>
      </c>
      <c r="Y8" s="7">
        <v>7.9400000000000004E-7</v>
      </c>
      <c r="Z8" s="7">
        <v>0.72116769999999997</v>
      </c>
      <c r="AA8" s="7">
        <v>8.9500000000000007E-6</v>
      </c>
      <c r="AB8" s="7">
        <v>1.033471E-2</v>
      </c>
      <c r="AC8" s="7">
        <v>1.17E-5</v>
      </c>
      <c r="AD8" s="7">
        <v>7.9675549999999996E-4</v>
      </c>
      <c r="AE8" s="7">
        <v>2.0499999999999999E-6</v>
      </c>
    </row>
    <row r="9" spans="1:33" x14ac:dyDescent="0.25">
      <c r="A9" s="1">
        <v>987</v>
      </c>
      <c r="B9" s="1" t="s">
        <v>94</v>
      </c>
      <c r="C9" s="1" t="s">
        <v>22</v>
      </c>
      <c r="D9" s="1" t="s">
        <v>100</v>
      </c>
      <c r="E9" s="7">
        <v>0.71016599999999996</v>
      </c>
      <c r="F9" s="7">
        <v>7.17E-6</v>
      </c>
      <c r="G9" s="7">
        <v>8.2435254871161644E-5</v>
      </c>
      <c r="H9" s="8">
        <v>0.71024843525487114</v>
      </c>
      <c r="I9" s="9">
        <v>1.434E-5</v>
      </c>
      <c r="J9" s="7">
        <v>8.7917129999999998E-4</v>
      </c>
      <c r="K9" s="7">
        <v>5.2800000000000003E-6</v>
      </c>
      <c r="L9" s="7">
        <v>6.9681420000000001E-5</v>
      </c>
      <c r="M9" s="7">
        <v>3.4900000000000001E-7</v>
      </c>
      <c r="N9" s="7">
        <v>1.521366</v>
      </c>
      <c r="O9" s="7">
        <v>5.4799999999999998E-4</v>
      </c>
      <c r="P9" s="7">
        <v>11.01529</v>
      </c>
      <c r="Q9" s="7">
        <v>5.4600000000000003E-2</v>
      </c>
      <c r="R9" s="7">
        <v>1.8218840000000001E-4</v>
      </c>
      <c r="S9" s="7">
        <v>1.13E-6</v>
      </c>
      <c r="T9" s="7">
        <v>7.1679170000000002E-3</v>
      </c>
      <c r="U9" s="7">
        <v>5.4E-6</v>
      </c>
      <c r="V9" s="7">
        <v>0.1155755</v>
      </c>
      <c r="W9" s="7">
        <v>2.9000000000000002E-6</v>
      </c>
      <c r="X9" s="7">
        <v>8.3335339999999994E-2</v>
      </c>
      <c r="Y9" s="7">
        <v>9.8200000000000008E-7</v>
      </c>
      <c r="Z9" s="7">
        <v>0.7212847</v>
      </c>
      <c r="AA9" s="7">
        <v>1.4E-5</v>
      </c>
      <c r="AB9" s="7">
        <v>9.6699990000000003E-3</v>
      </c>
      <c r="AC9" s="7">
        <v>1.03E-5</v>
      </c>
      <c r="AD9" s="7">
        <v>7.6517659999999999E-4</v>
      </c>
      <c r="AE9" s="7">
        <v>2.5299999999999999E-6</v>
      </c>
    </row>
    <row r="10" spans="1:33" x14ac:dyDescent="0.25">
      <c r="A10" s="1">
        <v>987</v>
      </c>
      <c r="B10" s="1" t="s">
        <v>101</v>
      </c>
      <c r="C10" s="1" t="s">
        <v>32</v>
      </c>
      <c r="D10" s="1" t="s">
        <v>102</v>
      </c>
      <c r="E10" s="7">
        <v>0.71017940000000002</v>
      </c>
      <c r="F10" s="7">
        <v>5.9800000000000003E-6</v>
      </c>
      <c r="G10" s="7">
        <v>6.3751540218171703E-5</v>
      </c>
      <c r="H10" s="8">
        <v>0.71024315154021822</v>
      </c>
      <c r="I10" s="9">
        <v>1.1960000000000001E-5</v>
      </c>
      <c r="J10" s="7">
        <v>8.596904E-4</v>
      </c>
      <c r="K10" s="7">
        <v>3.0000000000000001E-6</v>
      </c>
      <c r="L10" s="7">
        <v>6.0833350000000003E-5</v>
      </c>
      <c r="M10" s="7">
        <v>1.8900000000000001E-7</v>
      </c>
      <c r="N10" s="7">
        <v>1.504068</v>
      </c>
      <c r="O10" s="7">
        <v>4.4499999999999997E-4</v>
      </c>
      <c r="P10" s="7">
        <v>11.503729999999999</v>
      </c>
      <c r="Q10" s="7">
        <v>2.0299999999999999E-2</v>
      </c>
      <c r="R10" s="7">
        <v>1.7663379999999999E-4</v>
      </c>
      <c r="S10" s="7">
        <v>7.4600000000000004E-7</v>
      </c>
      <c r="T10" s="7">
        <v>7.1533869999999998E-3</v>
      </c>
      <c r="U10" s="7">
        <v>3.0599999999999999E-6</v>
      </c>
      <c r="V10" s="7">
        <v>0.1156155</v>
      </c>
      <c r="W10" s="7">
        <v>1.8199999999999999E-6</v>
      </c>
      <c r="X10" s="7">
        <v>8.3353070000000001E-2</v>
      </c>
      <c r="Y10" s="7">
        <v>8.0699999999999996E-7</v>
      </c>
      <c r="Z10" s="7">
        <v>0.72116910000000001</v>
      </c>
      <c r="AA10" s="7">
        <v>8.6999999999999997E-6</v>
      </c>
      <c r="AB10" s="7">
        <v>9.8921640000000002E-3</v>
      </c>
      <c r="AC10" s="7">
        <v>1.9599999999999999E-5</v>
      </c>
      <c r="AD10" s="7">
        <v>6.9943399999999997E-4</v>
      </c>
      <c r="AE10" s="7">
        <v>2.1900000000000002E-6</v>
      </c>
    </row>
    <row r="11" spans="1:33" x14ac:dyDescent="0.25">
      <c r="A11" s="1">
        <v>987</v>
      </c>
      <c r="B11" s="1" t="s">
        <v>101</v>
      </c>
      <c r="C11" s="1" t="s">
        <v>32</v>
      </c>
      <c r="D11" s="1" t="s">
        <v>103</v>
      </c>
      <c r="E11" s="7">
        <v>0.71020099999999997</v>
      </c>
      <c r="F11" s="7">
        <v>5.5099999999999998E-6</v>
      </c>
      <c r="G11" s="7">
        <v>4.9302436033481162E-5</v>
      </c>
      <c r="H11" s="8">
        <v>0.71025030243603349</v>
      </c>
      <c r="I11" s="9">
        <v>1.102E-5</v>
      </c>
      <c r="J11" s="7">
        <v>8.4970930000000003E-4</v>
      </c>
      <c r="K11" s="7">
        <v>1.9300000000000002E-6</v>
      </c>
      <c r="L11" s="7">
        <v>5.7747510000000003E-5</v>
      </c>
      <c r="M11" s="7">
        <v>2.0900000000000001E-7</v>
      </c>
      <c r="N11" s="7">
        <v>1.5144150000000001</v>
      </c>
      <c r="O11" s="7">
        <v>5.8600000000000004E-4</v>
      </c>
      <c r="P11" s="7">
        <v>11.20661</v>
      </c>
      <c r="Q11" s="7">
        <v>1.67E-2</v>
      </c>
      <c r="R11" s="7">
        <v>1.727248E-4</v>
      </c>
      <c r="S11" s="7">
        <v>3.9700000000000002E-7</v>
      </c>
      <c r="T11" s="7">
        <v>7.1403619999999999E-3</v>
      </c>
      <c r="U11" s="7">
        <v>2.0200000000000001E-6</v>
      </c>
      <c r="V11" s="7">
        <v>0.11558499999999999</v>
      </c>
      <c r="W11" s="7">
        <v>2.04E-6</v>
      </c>
      <c r="X11" s="7">
        <v>8.3345630000000004E-2</v>
      </c>
      <c r="Y11" s="7">
        <v>7.9599999999999998E-7</v>
      </c>
      <c r="Z11" s="7">
        <v>0.7212712</v>
      </c>
      <c r="AA11" s="7">
        <v>9.2099999999999999E-6</v>
      </c>
      <c r="AB11" s="7">
        <v>9.5296270000000006E-3</v>
      </c>
      <c r="AC11" s="7">
        <v>1.3200000000000001E-5</v>
      </c>
      <c r="AD11" s="7">
        <v>6.4589900000000002E-4</v>
      </c>
      <c r="AE11" s="7">
        <v>2.5299999999999999E-6</v>
      </c>
    </row>
    <row r="12" spans="1:33" x14ac:dyDescent="0.25">
      <c r="A12" s="1">
        <v>987</v>
      </c>
      <c r="B12" s="1" t="s">
        <v>104</v>
      </c>
      <c r="C12" s="1" t="s">
        <v>77</v>
      </c>
      <c r="D12" s="1" t="s">
        <v>105</v>
      </c>
      <c r="E12" s="7">
        <v>0.71035579999999998</v>
      </c>
      <c r="F12" s="7">
        <v>7.96E-6</v>
      </c>
      <c r="G12" s="7">
        <v>-1.0210554E-4</v>
      </c>
      <c r="H12" s="8">
        <v>0.71025369445999997</v>
      </c>
      <c r="I12" s="9">
        <v>1.592E-5</v>
      </c>
      <c r="J12" s="7">
        <v>1.3642400000000001E-3</v>
      </c>
      <c r="K12" s="7">
        <v>2.2400000000000002E-6</v>
      </c>
      <c r="L12" s="7">
        <v>7.5635559999999999E-4</v>
      </c>
      <c r="M12" s="7">
        <v>1.33E-6</v>
      </c>
      <c r="N12" s="7">
        <v>1.548238</v>
      </c>
      <c r="O12" s="7">
        <v>7.7200000000000001E-4</v>
      </c>
      <c r="P12" s="7">
        <v>10.63519</v>
      </c>
      <c r="Q12" s="7">
        <v>2.6599999999999999E-2</v>
      </c>
      <c r="R12" s="7">
        <v>2.605347E-4</v>
      </c>
      <c r="S12" s="7">
        <v>4.9800000000000004E-7</v>
      </c>
      <c r="T12" s="7">
        <v>7.6451210000000004E-3</v>
      </c>
      <c r="U12" s="7">
        <v>2.1500000000000002E-6</v>
      </c>
      <c r="V12" s="7">
        <v>0.1156573</v>
      </c>
      <c r="W12" s="7">
        <v>1.88E-6</v>
      </c>
      <c r="X12" s="7">
        <v>8.333227E-2</v>
      </c>
      <c r="Y12" s="7">
        <v>7.5199999999999996E-7</v>
      </c>
      <c r="Z12" s="7">
        <v>0.72311060000000005</v>
      </c>
      <c r="AA12" s="7">
        <v>1.3499999999999999E-5</v>
      </c>
      <c r="AB12" s="7">
        <v>1.447698E-2</v>
      </c>
      <c r="AC12" s="7">
        <v>3.6300000000000001E-5</v>
      </c>
      <c r="AD12" s="7">
        <v>8.0183010000000002E-3</v>
      </c>
      <c r="AE12" s="7">
        <v>2.48E-5</v>
      </c>
    </row>
    <row r="13" spans="1:33" x14ac:dyDescent="0.25">
      <c r="A13" s="1">
        <v>987</v>
      </c>
      <c r="B13" s="1" t="s">
        <v>104</v>
      </c>
      <c r="C13" s="1" t="s">
        <v>77</v>
      </c>
      <c r="D13" s="1" t="s">
        <v>106</v>
      </c>
      <c r="E13" s="7">
        <v>0.71033389999999996</v>
      </c>
      <c r="F13" s="7">
        <v>6.9800000000000001E-6</v>
      </c>
      <c r="G13" s="7">
        <v>-9.7400510000000004E-5</v>
      </c>
      <c r="H13" s="8">
        <v>0.71023649949000001</v>
      </c>
      <c r="I13" s="9">
        <v>1.396E-5</v>
      </c>
      <c r="J13" s="7">
        <v>1.3947300000000001E-3</v>
      </c>
      <c r="K13" s="7">
        <v>3.4699999999999998E-6</v>
      </c>
      <c r="L13" s="7">
        <v>7.5754049999999997E-4</v>
      </c>
      <c r="M13" s="7">
        <v>2.8799999999999998E-7</v>
      </c>
      <c r="N13" s="7">
        <v>1.5419419999999999</v>
      </c>
      <c r="O13" s="7">
        <v>6.7599999999999995E-4</v>
      </c>
      <c r="P13" s="7">
        <v>10.812010000000001</v>
      </c>
      <c r="Q13" s="7">
        <v>4.8399999999999999E-2</v>
      </c>
      <c r="R13" s="7">
        <v>2.6713060000000001E-4</v>
      </c>
      <c r="S13" s="7">
        <v>7.7800000000000001E-7</v>
      </c>
      <c r="T13" s="7">
        <v>7.6775100000000002E-3</v>
      </c>
      <c r="U13" s="7">
        <v>3.5300000000000001E-6</v>
      </c>
      <c r="V13" s="7">
        <v>0.11568489999999999</v>
      </c>
      <c r="W13" s="7">
        <v>2.52E-6</v>
      </c>
      <c r="X13" s="7">
        <v>8.3335599999999996E-2</v>
      </c>
      <c r="Y13" s="7">
        <v>1.13E-6</v>
      </c>
      <c r="Z13" s="7">
        <v>0.72298549999999995</v>
      </c>
      <c r="AA13" s="7">
        <v>1.15E-5</v>
      </c>
      <c r="AB13" s="7">
        <v>1.509419E-2</v>
      </c>
      <c r="AC13" s="7">
        <v>5.5699999999999999E-5</v>
      </c>
      <c r="AD13" s="7">
        <v>8.1904720000000007E-3</v>
      </c>
      <c r="AE13" s="7">
        <v>3.7700000000000002E-5</v>
      </c>
    </row>
    <row r="14" spans="1:33" x14ac:dyDescent="0.25">
      <c r="A14" s="1">
        <v>987</v>
      </c>
      <c r="B14" s="1" t="s">
        <v>104</v>
      </c>
      <c r="C14" s="1" t="s">
        <v>77</v>
      </c>
      <c r="D14" s="1" t="s">
        <v>107</v>
      </c>
      <c r="E14" s="7">
        <v>0.71034070000000005</v>
      </c>
      <c r="F14" s="7">
        <v>6.3799999999999999E-6</v>
      </c>
      <c r="G14" s="7">
        <v>-6.9584820000000006E-5</v>
      </c>
      <c r="H14" s="8">
        <v>0.71027111518000008</v>
      </c>
      <c r="I14" s="9">
        <v>1.276E-5</v>
      </c>
      <c r="J14" s="7">
        <v>1.328035E-3</v>
      </c>
      <c r="K14" s="7">
        <v>2.6299999999999998E-6</v>
      </c>
      <c r="L14" s="7">
        <v>7.5228269999999997E-4</v>
      </c>
      <c r="M14" s="7">
        <v>2.04E-7</v>
      </c>
      <c r="N14" s="7">
        <v>1.5645830000000001</v>
      </c>
      <c r="O14" s="7">
        <v>6.0999999999999997E-4</v>
      </c>
      <c r="P14" s="7">
        <v>10.53947</v>
      </c>
      <c r="Q14" s="7">
        <v>2.9399999999999999E-2</v>
      </c>
      <c r="R14" s="7">
        <v>2.542914E-4</v>
      </c>
      <c r="S14" s="7">
        <v>6.9699999999999995E-7</v>
      </c>
      <c r="T14" s="7">
        <v>7.6049000000000004E-3</v>
      </c>
      <c r="U14" s="7">
        <v>2.7800000000000001E-6</v>
      </c>
      <c r="V14" s="7">
        <v>0.1156039</v>
      </c>
      <c r="W14" s="7">
        <v>2.0999999999999998E-6</v>
      </c>
      <c r="X14" s="7">
        <v>8.3314269999999996E-2</v>
      </c>
      <c r="Y14" s="7">
        <v>8.6199999999999996E-7</v>
      </c>
      <c r="Z14" s="7">
        <v>0.72330139999999998</v>
      </c>
      <c r="AA14" s="7">
        <v>1.24E-5</v>
      </c>
      <c r="AB14" s="7">
        <v>1.402201E-2</v>
      </c>
      <c r="AC14" s="7">
        <v>1.34E-5</v>
      </c>
      <c r="AD14" s="7">
        <v>7.9287049999999994E-3</v>
      </c>
      <c r="AE14" s="7">
        <v>2.1999999999999999E-5</v>
      </c>
    </row>
    <row r="15" spans="1:33" x14ac:dyDescent="0.25">
      <c r="A15" s="1">
        <v>987</v>
      </c>
      <c r="B15" s="1" t="s">
        <v>104</v>
      </c>
      <c r="C15" s="1" t="s">
        <v>77</v>
      </c>
      <c r="D15" s="1" t="s">
        <v>108</v>
      </c>
      <c r="E15" s="7">
        <v>0.71028349999999996</v>
      </c>
      <c r="F15" s="7">
        <v>6.2600000000000002E-6</v>
      </c>
      <c r="G15" s="7">
        <v>-5.0316690000000005E-5</v>
      </c>
      <c r="H15" s="8">
        <v>0.71023318330999996</v>
      </c>
      <c r="I15" s="9">
        <v>1.252E-5</v>
      </c>
      <c r="J15" s="7">
        <v>1.0398709999999999E-3</v>
      </c>
      <c r="K15" s="7">
        <v>1.3200000000000001E-6</v>
      </c>
      <c r="L15" s="7">
        <v>7.6492279999999997E-4</v>
      </c>
      <c r="M15" s="7">
        <v>3.9499999999999998E-7</v>
      </c>
      <c r="N15" s="7">
        <v>1.579337</v>
      </c>
      <c r="O15" s="7">
        <v>6.5600000000000001E-4</v>
      </c>
      <c r="P15" s="7">
        <v>10.57761</v>
      </c>
      <c r="Q15" s="7">
        <v>4.7899999999999998E-2</v>
      </c>
      <c r="R15" s="7">
        <v>2.0309930000000001E-4</v>
      </c>
      <c r="S15" s="7">
        <v>3.6899999999999998E-7</v>
      </c>
      <c r="T15" s="7">
        <v>7.311611E-3</v>
      </c>
      <c r="U15" s="7">
        <v>1.3400000000000001E-6</v>
      </c>
      <c r="V15" s="7">
        <v>0.1154739</v>
      </c>
      <c r="W15" s="7">
        <v>1.8300000000000001E-6</v>
      </c>
      <c r="X15" s="7">
        <v>8.3292640000000001E-2</v>
      </c>
      <c r="Y15" s="7">
        <v>8.9199999999999999E-7</v>
      </c>
      <c r="Z15" s="7">
        <v>0.72397529999999999</v>
      </c>
      <c r="AA15" s="7">
        <v>8.6799999999999999E-6</v>
      </c>
      <c r="AB15" s="7">
        <v>1.101593E-2</v>
      </c>
      <c r="AC15" s="7">
        <v>4.2299999999999998E-5</v>
      </c>
      <c r="AD15" s="7">
        <v>8.0917599999999999E-3</v>
      </c>
      <c r="AE15" s="7">
        <v>3.4E-5</v>
      </c>
    </row>
    <row r="16" spans="1:33" x14ac:dyDescent="0.25">
      <c r="A16" s="1">
        <v>987</v>
      </c>
      <c r="B16" s="1" t="s">
        <v>104</v>
      </c>
      <c r="C16" s="1" t="s">
        <v>77</v>
      </c>
      <c r="D16" s="1" t="s">
        <v>109</v>
      </c>
      <c r="E16" s="7">
        <v>0.71027790000000002</v>
      </c>
      <c r="F16" s="7">
        <v>7.9100000000000005E-6</v>
      </c>
      <c r="G16" s="7">
        <v>-3.9019880000000008E-5</v>
      </c>
      <c r="H16" s="8">
        <v>0.71023888012000003</v>
      </c>
      <c r="I16" s="9">
        <v>1.5820000000000001E-5</v>
      </c>
      <c r="J16" s="7">
        <v>1.070348E-3</v>
      </c>
      <c r="K16" s="7">
        <v>1.7E-6</v>
      </c>
      <c r="L16" s="7">
        <v>7.6174070000000003E-4</v>
      </c>
      <c r="M16" s="7">
        <v>2.23E-7</v>
      </c>
      <c r="N16" s="7">
        <v>1.5673859999999999</v>
      </c>
      <c r="O16" s="7">
        <v>4.4900000000000002E-4</v>
      </c>
      <c r="P16" s="7">
        <v>11.417389999999999</v>
      </c>
      <c r="Q16" s="7">
        <v>3.2599999999999997E-2</v>
      </c>
      <c r="R16" s="7">
        <v>2.073209E-4</v>
      </c>
      <c r="S16" s="7">
        <v>3.1600000000000002E-7</v>
      </c>
      <c r="T16" s="7">
        <v>7.3455550000000001E-3</v>
      </c>
      <c r="U16" s="7">
        <v>1.6199999999999999E-6</v>
      </c>
      <c r="V16" s="7">
        <v>0.1155142</v>
      </c>
      <c r="W16" s="7">
        <v>1.1000000000000001E-6</v>
      </c>
      <c r="X16" s="7">
        <v>8.3304509999999998E-2</v>
      </c>
      <c r="Y16" s="7">
        <v>8.2600000000000001E-7</v>
      </c>
      <c r="Z16" s="7">
        <v>0.72380009999999995</v>
      </c>
      <c r="AA16" s="7">
        <v>1.01E-5</v>
      </c>
      <c r="AB16" s="7">
        <v>1.2228670000000001E-2</v>
      </c>
      <c r="AC16" s="7">
        <v>5.1199999999999998E-5</v>
      </c>
      <c r="AD16" s="7">
        <v>8.6992560000000007E-3</v>
      </c>
      <c r="AE16" s="7">
        <v>2.44E-5</v>
      </c>
    </row>
    <row r="17" spans="1:34" x14ac:dyDescent="0.25">
      <c r="A17" s="1">
        <v>987</v>
      </c>
      <c r="B17" s="1" t="s">
        <v>104</v>
      </c>
      <c r="C17" s="1" t="s">
        <v>77</v>
      </c>
      <c r="D17" s="1" t="s">
        <v>110</v>
      </c>
      <c r="E17" s="7">
        <v>0.71030199999999999</v>
      </c>
      <c r="F17" s="7">
        <v>5.13E-6</v>
      </c>
      <c r="G17" s="7">
        <v>-3.5118150000000009E-5</v>
      </c>
      <c r="H17" s="8">
        <v>0.71026688184999998</v>
      </c>
      <c r="I17" s="9">
        <v>1.026E-5</v>
      </c>
      <c r="J17" s="7">
        <v>1.174004E-3</v>
      </c>
      <c r="K17" s="7">
        <v>1.55E-6</v>
      </c>
      <c r="L17" s="7">
        <v>7.6004969999999997E-4</v>
      </c>
      <c r="M17" s="7">
        <v>3.5400000000000002E-7</v>
      </c>
      <c r="N17" s="7">
        <v>1.566324</v>
      </c>
      <c r="O17" s="7">
        <v>4.1100000000000002E-4</v>
      </c>
      <c r="P17" s="7">
        <v>11.168480000000001</v>
      </c>
      <c r="Q17" s="7">
        <v>1.9599999999999999E-2</v>
      </c>
      <c r="R17" s="7">
        <v>2.274617E-4</v>
      </c>
      <c r="S17" s="7">
        <v>3.9000000000000002E-7</v>
      </c>
      <c r="T17" s="7">
        <v>7.4495589999999997E-3</v>
      </c>
      <c r="U17" s="7">
        <v>1.4899999999999999E-6</v>
      </c>
      <c r="V17" s="7">
        <v>0.11555</v>
      </c>
      <c r="W17" s="7">
        <v>9.3799999999999996E-7</v>
      </c>
      <c r="X17" s="7">
        <v>8.3308190000000004E-2</v>
      </c>
      <c r="Y17" s="7">
        <v>6.7800000000000001E-7</v>
      </c>
      <c r="Z17" s="7">
        <v>0.72360369999999996</v>
      </c>
      <c r="AA17" s="7">
        <v>6.5699999999999998E-6</v>
      </c>
      <c r="AB17" s="7">
        <v>1.310183E-2</v>
      </c>
      <c r="AC17" s="7">
        <v>3.2100000000000001E-5</v>
      </c>
      <c r="AD17" s="7">
        <v>8.4927879999999994E-3</v>
      </c>
      <c r="AE17" s="7">
        <v>1.6500000000000001E-5</v>
      </c>
    </row>
    <row r="18" spans="1:34" x14ac:dyDescent="0.25">
      <c r="A18" s="1">
        <v>987</v>
      </c>
      <c r="B18" s="1" t="s">
        <v>111</v>
      </c>
      <c r="C18" s="1" t="s">
        <v>86</v>
      </c>
      <c r="D18" s="1" t="s">
        <v>112</v>
      </c>
      <c r="E18" s="7">
        <v>0.71028119999999995</v>
      </c>
      <c r="F18" s="7">
        <v>6.37E-6</v>
      </c>
      <c r="G18" s="7">
        <v>-3.8035260000000002E-5</v>
      </c>
      <c r="H18" s="8">
        <v>0.71024316473999993</v>
      </c>
      <c r="I18" s="9">
        <v>1.274E-5</v>
      </c>
      <c r="J18" s="7">
        <v>1.1633469999999999E-3</v>
      </c>
      <c r="K18" s="7">
        <v>1.7999999999999999E-6</v>
      </c>
      <c r="L18" s="7">
        <v>7.5939560000000004E-4</v>
      </c>
      <c r="M18" s="7">
        <v>2.9700000000000003E-7</v>
      </c>
      <c r="N18" s="7">
        <v>1.5639069999999999</v>
      </c>
      <c r="O18" s="7">
        <v>5.6800000000000004E-4</v>
      </c>
      <c r="P18" s="7">
        <v>11.4094</v>
      </c>
      <c r="Q18" s="7">
        <v>1.23E-2</v>
      </c>
      <c r="R18" s="7">
        <v>2.2682839999999999E-4</v>
      </c>
      <c r="S18" s="7">
        <v>3.77E-7</v>
      </c>
      <c r="T18" s="7">
        <v>7.4396360000000003E-3</v>
      </c>
      <c r="U18" s="7">
        <v>1.68E-6</v>
      </c>
      <c r="V18" s="7">
        <v>0.11555310000000001</v>
      </c>
      <c r="W18" s="7">
        <v>1.06E-6</v>
      </c>
      <c r="X18" s="7">
        <v>8.3308859999999998E-2</v>
      </c>
      <c r="Y18" s="7">
        <v>8.4099999999999997E-7</v>
      </c>
      <c r="Z18" s="7">
        <v>0.72358619999999996</v>
      </c>
      <c r="AA18" s="7">
        <v>7.1099999999999997E-6</v>
      </c>
      <c r="AB18" s="7">
        <v>1.327063E-2</v>
      </c>
      <c r="AC18" s="7">
        <v>1.24E-5</v>
      </c>
      <c r="AD18" s="7">
        <v>8.6663790000000001E-3</v>
      </c>
      <c r="AE18" s="7">
        <v>9.2799999999999992E-6</v>
      </c>
    </row>
    <row r="19" spans="1:34" x14ac:dyDescent="0.25">
      <c r="A19" s="1">
        <v>987</v>
      </c>
      <c r="B19" s="1" t="s">
        <v>111</v>
      </c>
      <c r="C19" s="1" t="s">
        <v>86</v>
      </c>
      <c r="D19" s="1" t="s">
        <v>113</v>
      </c>
      <c r="E19" s="7">
        <v>0.71025179999999999</v>
      </c>
      <c r="F19" s="7">
        <v>5.6799999999999998E-6</v>
      </c>
      <c r="G19">
        <v>0</v>
      </c>
      <c r="H19" s="8">
        <v>0.71025179999999999</v>
      </c>
      <c r="I19" s="9">
        <v>1.136E-5</v>
      </c>
      <c r="J19" s="7">
        <v>9.6566169999999995E-4</v>
      </c>
      <c r="K19" s="7">
        <v>4.1899999999999997E-6</v>
      </c>
      <c r="L19" s="7">
        <v>7.4092549999999998E-4</v>
      </c>
      <c r="M19" s="7">
        <v>3.0100000000000001E-7</v>
      </c>
      <c r="N19" s="7">
        <v>1.532985</v>
      </c>
      <c r="O19" s="7">
        <v>1.0499999999999999E-3</v>
      </c>
      <c r="P19" s="7">
        <v>11.521929999999999</v>
      </c>
      <c r="Q19" s="7">
        <v>4.1200000000000001E-2</v>
      </c>
      <c r="R19" s="7">
        <v>1.9068380000000001E-4</v>
      </c>
      <c r="S19" s="7">
        <v>8.6899999999999996E-7</v>
      </c>
      <c r="T19" s="7">
        <v>7.2510710000000004E-3</v>
      </c>
      <c r="U19" s="7">
        <v>4.4000000000000002E-6</v>
      </c>
      <c r="V19" s="7">
        <v>0.1155727</v>
      </c>
      <c r="W19" s="7">
        <v>3.8600000000000003E-6</v>
      </c>
      <c r="X19" s="7">
        <v>8.3335549999999994E-2</v>
      </c>
      <c r="Y19" s="7">
        <v>1.04E-6</v>
      </c>
      <c r="Z19" s="7">
        <v>0.72362800000000005</v>
      </c>
      <c r="AA19" s="7">
        <v>1.6699999999999999E-5</v>
      </c>
      <c r="AB19" s="7">
        <v>1.111672E-2</v>
      </c>
      <c r="AC19" s="7">
        <v>2.5299999999999998E-5</v>
      </c>
      <c r="AD19" s="7">
        <v>8.5387029999999999E-3</v>
      </c>
      <c r="AE19" s="7">
        <v>3.2499999999999997E-5</v>
      </c>
    </row>
    <row r="20" spans="1:34" x14ac:dyDescent="0.25">
      <c r="A20" s="1">
        <v>987</v>
      </c>
      <c r="B20" s="1" t="s">
        <v>111</v>
      </c>
      <c r="C20" s="1" t="s">
        <v>86</v>
      </c>
      <c r="D20" s="1" t="s">
        <v>114</v>
      </c>
      <c r="E20" s="7">
        <v>0.71025720000000003</v>
      </c>
      <c r="F20" s="7">
        <v>6.5699999999999998E-6</v>
      </c>
      <c r="G20">
        <v>0</v>
      </c>
      <c r="H20" s="8">
        <v>0.71025720000000003</v>
      </c>
      <c r="I20" s="9">
        <v>1.314E-5</v>
      </c>
      <c r="J20" s="7">
        <v>9.2093019999999999E-4</v>
      </c>
      <c r="K20" s="7">
        <v>3.05E-6</v>
      </c>
      <c r="L20" s="7">
        <v>7.3801580000000002E-4</v>
      </c>
      <c r="M20" s="7">
        <v>2.5600000000000002E-7</v>
      </c>
      <c r="N20" s="7">
        <v>1.518116</v>
      </c>
      <c r="O20" s="7">
        <v>6.5399999999999996E-4</v>
      </c>
      <c r="P20" s="7">
        <v>12.69219</v>
      </c>
      <c r="Q20" s="7">
        <v>2.6599999999999999E-2</v>
      </c>
      <c r="R20" s="7">
        <v>1.8102020000000001E-4</v>
      </c>
      <c r="S20" s="7">
        <v>6.2200000000000004E-7</v>
      </c>
      <c r="T20" s="7">
        <v>7.2116560000000003E-3</v>
      </c>
      <c r="U20" s="7">
        <v>3.2600000000000001E-6</v>
      </c>
      <c r="V20" s="7">
        <v>0.11559850000000001</v>
      </c>
      <c r="W20" s="7">
        <v>2.61E-6</v>
      </c>
      <c r="X20" s="7">
        <v>8.3349850000000003E-2</v>
      </c>
      <c r="Y20" s="7">
        <v>8.8199999999999998E-7</v>
      </c>
      <c r="Z20" s="7">
        <v>0.72357550000000004</v>
      </c>
      <c r="AA20" s="7">
        <v>1.22E-5</v>
      </c>
      <c r="AB20" s="7">
        <v>1.170362E-2</v>
      </c>
      <c r="AC20" s="7">
        <v>1.9599999999999999E-5</v>
      </c>
      <c r="AD20" s="7">
        <v>9.3716670000000002E-3</v>
      </c>
      <c r="AE20" s="7">
        <v>1.8499999999999999E-5</v>
      </c>
    </row>
    <row r="21" spans="1:34" x14ac:dyDescent="0.25">
      <c r="A21" s="1">
        <v>987</v>
      </c>
      <c r="B21" s="1" t="s">
        <v>115</v>
      </c>
      <c r="C21" s="1" t="s">
        <v>91</v>
      </c>
      <c r="D21" s="1" t="s">
        <v>116</v>
      </c>
      <c r="E21" s="7">
        <v>0.71014339999999998</v>
      </c>
      <c r="F21" s="7">
        <v>5.84E-6</v>
      </c>
      <c r="G21" s="7">
        <v>1.0659095000000001E-4</v>
      </c>
      <c r="H21" s="8">
        <v>0.71024999094999997</v>
      </c>
      <c r="I21" s="9">
        <v>1.168E-5</v>
      </c>
      <c r="J21" s="7">
        <v>1.364887E-3</v>
      </c>
      <c r="K21" s="7">
        <v>7.7000000000000008E-6</v>
      </c>
      <c r="L21" s="7">
        <v>2.5419439999999999E-4</v>
      </c>
      <c r="M21" s="7">
        <v>2.8799999999999998E-7</v>
      </c>
      <c r="N21" s="7">
        <v>1.5407059999999999</v>
      </c>
      <c r="O21" s="7">
        <v>6.2399999999999999E-4</v>
      </c>
      <c r="P21" s="7">
        <v>9.5225530000000003</v>
      </c>
      <c r="Q21" s="7">
        <v>2.8899999999999999E-2</v>
      </c>
      <c r="R21" s="7">
        <v>2.8833750000000001E-4</v>
      </c>
      <c r="S21" s="7">
        <v>1.5E-6</v>
      </c>
      <c r="T21" s="7">
        <v>7.6479779999999997E-3</v>
      </c>
      <c r="U21" s="7">
        <v>7.8499999999999994E-6</v>
      </c>
      <c r="V21" s="7">
        <v>0.11567810000000001</v>
      </c>
      <c r="W21" s="7">
        <v>3.9099999999999998E-6</v>
      </c>
      <c r="X21" s="7">
        <v>8.3315360000000005E-2</v>
      </c>
      <c r="Y21" s="7">
        <v>8.85E-7</v>
      </c>
      <c r="Z21" s="7">
        <v>0.72112279999999995</v>
      </c>
      <c r="AA21" s="7">
        <v>2.0699999999999998E-5</v>
      </c>
      <c r="AB21" s="7">
        <v>1.299965E-2</v>
      </c>
      <c r="AC21" s="7">
        <v>3.4100000000000002E-5</v>
      </c>
      <c r="AD21" s="7">
        <v>2.4223349999999999E-3</v>
      </c>
      <c r="AE21" s="7">
        <v>9.1500000000000005E-6</v>
      </c>
      <c r="AF21" s="1" t="s">
        <v>115</v>
      </c>
      <c r="AG21" s="1" t="s">
        <v>91</v>
      </c>
      <c r="AH21" s="1" t="s">
        <v>116</v>
      </c>
    </row>
    <row r="22" spans="1:34" x14ac:dyDescent="0.25">
      <c r="A22" s="1">
        <v>987</v>
      </c>
      <c r="B22" s="1" t="s">
        <v>115</v>
      </c>
      <c r="C22" s="1" t="s">
        <v>91</v>
      </c>
      <c r="D22" s="1" t="s">
        <v>117</v>
      </c>
      <c r="E22" s="7">
        <v>0.7101634</v>
      </c>
      <c r="F22" s="7">
        <v>6.1199999999999999E-6</v>
      </c>
      <c r="G22" s="7">
        <v>8.4154920000000004E-5</v>
      </c>
      <c r="H22" s="8">
        <v>0.71024755492000002</v>
      </c>
      <c r="I22" s="9">
        <v>1.224E-5</v>
      </c>
      <c r="J22" s="7">
        <v>1.4970370000000001E-3</v>
      </c>
      <c r="K22" s="7">
        <v>4.5900000000000001E-6</v>
      </c>
      <c r="L22" s="7">
        <v>2.516927E-4</v>
      </c>
      <c r="M22" s="7">
        <v>2.3699999999999999E-7</v>
      </c>
      <c r="N22" s="7">
        <v>1.5301229999999999</v>
      </c>
      <c r="O22" s="7">
        <v>4.0900000000000002E-4</v>
      </c>
      <c r="P22" s="7">
        <v>9.3506579999999992</v>
      </c>
      <c r="Q22" s="7">
        <v>1.5299999999999999E-2</v>
      </c>
      <c r="R22" s="7">
        <v>3.1493269999999999E-4</v>
      </c>
      <c r="S22" s="7">
        <v>9.4399999999999998E-7</v>
      </c>
      <c r="T22" s="7">
        <v>7.7848450000000003E-3</v>
      </c>
      <c r="U22" s="7">
        <v>4.7600000000000002E-6</v>
      </c>
      <c r="V22" s="7">
        <v>0.11574909999999999</v>
      </c>
      <c r="W22" s="7">
        <v>2.0200000000000001E-6</v>
      </c>
      <c r="X22" s="7">
        <v>8.3327189999999995E-2</v>
      </c>
      <c r="Y22" s="7">
        <v>7.7100000000000001E-7</v>
      </c>
      <c r="Z22" s="7">
        <v>0.72077239999999998</v>
      </c>
      <c r="AA22" s="7">
        <v>1.2799999999999999E-5</v>
      </c>
      <c r="AB22" s="7">
        <v>1.395452E-2</v>
      </c>
      <c r="AC22" s="7">
        <v>4.1499999999999999E-5</v>
      </c>
      <c r="AD22" s="7">
        <v>2.3474339999999998E-3</v>
      </c>
      <c r="AE22" s="7">
        <v>4.1200000000000004E-6</v>
      </c>
      <c r="AF22" s="1" t="s">
        <v>115</v>
      </c>
      <c r="AG22" s="1" t="s">
        <v>91</v>
      </c>
      <c r="AH22" s="1" t="s">
        <v>117</v>
      </c>
    </row>
    <row r="23" spans="1:34" x14ac:dyDescent="0.25">
      <c r="A23" s="1">
        <v>987</v>
      </c>
      <c r="B23" s="1" t="s">
        <v>115</v>
      </c>
      <c r="C23" s="1" t="s">
        <v>91</v>
      </c>
      <c r="D23" s="1" t="s">
        <v>118</v>
      </c>
      <c r="E23" s="7">
        <v>0.71017050000000004</v>
      </c>
      <c r="F23" s="7">
        <v>7.6699999999999994E-6</v>
      </c>
      <c r="G23" s="7">
        <v>8.0978999999999985E-5</v>
      </c>
      <c r="H23" s="8">
        <v>0.71025147900000007</v>
      </c>
      <c r="I23" s="9">
        <v>1.5339999999999999E-5</v>
      </c>
      <c r="J23" s="7">
        <v>1.2623809999999999E-3</v>
      </c>
      <c r="K23" s="7">
        <v>5.6099999999999997E-6</v>
      </c>
      <c r="L23" s="7">
        <v>2.366573E-4</v>
      </c>
      <c r="M23" s="7">
        <v>2.35E-7</v>
      </c>
      <c r="N23" s="7">
        <v>1.4826950000000001</v>
      </c>
      <c r="O23" s="7">
        <v>3.68E-4</v>
      </c>
      <c r="P23" s="7">
        <v>8.617934</v>
      </c>
      <c r="Q23" s="7">
        <v>9.2399999999999999E-3</v>
      </c>
      <c r="R23" s="7">
        <v>2.7294819999999998E-4</v>
      </c>
      <c r="S23" s="7">
        <v>1.3799999999999999E-6</v>
      </c>
      <c r="T23" s="7">
        <v>7.5623909999999999E-3</v>
      </c>
      <c r="U23" s="7">
        <v>5.5400000000000003E-6</v>
      </c>
      <c r="V23" s="7">
        <v>0.1157985</v>
      </c>
      <c r="W23" s="7">
        <v>1.39E-6</v>
      </c>
      <c r="X23" s="7">
        <v>8.3373459999999996E-2</v>
      </c>
      <c r="Y23" s="7">
        <v>9.2200000000000002E-7</v>
      </c>
      <c r="Z23" s="7">
        <v>0.72080319999999998</v>
      </c>
      <c r="AA23" s="7">
        <v>1.24E-5</v>
      </c>
      <c r="AB23" s="7">
        <v>1.0888409999999999E-2</v>
      </c>
      <c r="AC23" s="7">
        <v>5.0000000000000002E-5</v>
      </c>
      <c r="AD23" s="7">
        <v>2.040619E-3</v>
      </c>
      <c r="AE23" s="7">
        <v>2.6400000000000001E-6</v>
      </c>
      <c r="AF23" s="1" t="s">
        <v>115</v>
      </c>
      <c r="AG23" s="1" t="s">
        <v>91</v>
      </c>
      <c r="AH23" s="1" t="s">
        <v>118</v>
      </c>
    </row>
    <row r="24" spans="1:34" x14ac:dyDescent="0.25">
      <c r="A24" s="1">
        <v>987</v>
      </c>
      <c r="B24" s="1" t="s">
        <v>115</v>
      </c>
      <c r="C24" s="1" t="s">
        <v>91</v>
      </c>
      <c r="D24" s="1" t="s">
        <v>119</v>
      </c>
      <c r="E24" s="7">
        <v>0.71014969999999999</v>
      </c>
      <c r="F24" s="7">
        <v>5.4099999999999999E-6</v>
      </c>
      <c r="G24" s="7">
        <v>9.4967720000000078E-5</v>
      </c>
      <c r="H24" s="8">
        <v>0.71024466771999994</v>
      </c>
      <c r="I24" s="9">
        <v>1.082E-5</v>
      </c>
      <c r="J24" s="7">
        <v>1.2013359999999999E-3</v>
      </c>
      <c r="K24" s="7">
        <v>2.7599999999999998E-6</v>
      </c>
      <c r="L24" s="7">
        <v>2.3383829999999999E-4</v>
      </c>
      <c r="M24" s="7">
        <v>2.4499999999999998E-7</v>
      </c>
      <c r="N24" s="7">
        <v>1.4706859999999999</v>
      </c>
      <c r="O24" s="7">
        <v>5.0600000000000005E-4</v>
      </c>
      <c r="P24" s="7">
        <v>8.4545750000000002</v>
      </c>
      <c r="Q24" s="7">
        <v>8.5000000000000006E-3</v>
      </c>
      <c r="R24" s="7">
        <v>2.6132180000000002E-4</v>
      </c>
      <c r="S24" s="7">
        <v>6.9299999999999997E-7</v>
      </c>
      <c r="T24" s="7">
        <v>7.5048950000000001E-3</v>
      </c>
      <c r="U24" s="7">
        <v>2.83E-6</v>
      </c>
      <c r="V24" s="7">
        <v>0.11580989999999999</v>
      </c>
      <c r="W24" s="7">
        <v>2.0600000000000002E-6</v>
      </c>
      <c r="X24" s="7">
        <v>8.3381629999999998E-2</v>
      </c>
      <c r="Y24" s="7">
        <v>8.2500000000000004E-7</v>
      </c>
      <c r="Z24" s="7">
        <v>0.7208</v>
      </c>
      <c r="AA24" s="7">
        <v>9.5200000000000003E-6</v>
      </c>
      <c r="AB24" s="7">
        <v>1.012333E-2</v>
      </c>
      <c r="AC24" s="7">
        <v>2.3499999999999999E-5</v>
      </c>
      <c r="AD24" s="7">
        <v>1.977014E-3</v>
      </c>
      <c r="AE24" s="7">
        <v>2.7199999999999998E-6</v>
      </c>
      <c r="AF24" s="1" t="s">
        <v>115</v>
      </c>
      <c r="AG24" s="1" t="s">
        <v>91</v>
      </c>
      <c r="AH24" s="1" t="s">
        <v>119</v>
      </c>
    </row>
    <row r="25" spans="1:34" x14ac:dyDescent="0.25">
      <c r="A25" s="1">
        <v>987</v>
      </c>
      <c r="B25" s="1" t="s">
        <v>115</v>
      </c>
      <c r="C25" s="1" t="s">
        <v>91</v>
      </c>
      <c r="D25" s="1" t="s">
        <v>120</v>
      </c>
      <c r="E25" s="7">
        <v>0.71015309999999998</v>
      </c>
      <c r="F25" s="7">
        <v>8.2600000000000005E-6</v>
      </c>
      <c r="G25" s="7">
        <v>9.8216250000000041E-5</v>
      </c>
      <c r="H25" s="8">
        <v>0.71025131624999993</v>
      </c>
      <c r="I25" s="9">
        <v>1.6520000000000001E-5</v>
      </c>
      <c r="J25" s="7">
        <v>1.276255E-3</v>
      </c>
      <c r="K25" s="7">
        <v>5.2499999999999997E-6</v>
      </c>
      <c r="L25" s="7">
        <v>2.3397070000000001E-4</v>
      </c>
      <c r="M25" s="7">
        <v>3.2800000000000003E-7</v>
      </c>
      <c r="N25" s="7">
        <v>1.4646859999999999</v>
      </c>
      <c r="O25" s="7">
        <v>4.8500000000000003E-4</v>
      </c>
      <c r="P25" s="7">
        <v>8.6503720000000008</v>
      </c>
      <c r="Q25" s="7">
        <v>2.1399999999999999E-2</v>
      </c>
      <c r="R25" s="7">
        <v>2.7632079999999999E-4</v>
      </c>
      <c r="S25" s="7">
        <v>1.08E-6</v>
      </c>
      <c r="T25" s="7">
        <v>7.5814749999999998E-3</v>
      </c>
      <c r="U25" s="7">
        <v>5.2399999999999998E-6</v>
      </c>
      <c r="V25" s="7">
        <v>0.1158479</v>
      </c>
      <c r="W25" s="7">
        <v>1.77E-6</v>
      </c>
      <c r="X25" s="7">
        <v>8.338827E-2</v>
      </c>
      <c r="Y25" s="7">
        <v>9.2099999999999995E-7</v>
      </c>
      <c r="Z25" s="7">
        <v>0.72060749999999996</v>
      </c>
      <c r="AA25" s="7">
        <v>1.31E-5</v>
      </c>
      <c r="AB25" s="7">
        <v>1.1031829999999999E-2</v>
      </c>
      <c r="AC25" s="7">
        <v>2.09E-5</v>
      </c>
      <c r="AD25" s="7">
        <v>2.0235159999999999E-3</v>
      </c>
      <c r="AE25" s="7">
        <v>4.3499999999999999E-6</v>
      </c>
      <c r="AF25" s="1" t="s">
        <v>115</v>
      </c>
      <c r="AG25" s="1" t="s">
        <v>91</v>
      </c>
      <c r="AH25" s="1" t="s">
        <v>120</v>
      </c>
    </row>
    <row r="26" spans="1:34" x14ac:dyDescent="0.25">
      <c r="A26" s="12"/>
      <c r="B26" s="13" t="s">
        <v>121</v>
      </c>
      <c r="C26" s="12"/>
      <c r="E26" s="7"/>
      <c r="F26" s="7"/>
      <c r="G26" s="13" t="s">
        <v>122</v>
      </c>
      <c r="H26" s="14">
        <f>AVERAGE(H4:H25)</f>
        <v>0.71024937373327812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4" x14ac:dyDescent="0.25">
      <c r="B27" s="13" t="s">
        <v>123</v>
      </c>
      <c r="G27" s="13" t="s">
        <v>124</v>
      </c>
      <c r="H27" s="14">
        <f>2*STDEV(H4:H25)</f>
        <v>1.8841876220580374E-5</v>
      </c>
    </row>
    <row r="28" spans="1:34" x14ac:dyDescent="0.25">
      <c r="G28" s="13" t="s">
        <v>125</v>
      </c>
      <c r="H28" s="15">
        <f>(H27/H26)*1000000</f>
        <v>26.528536197845511</v>
      </c>
    </row>
    <row r="30" spans="1:34" x14ac:dyDescent="0.25">
      <c r="A30" s="1" t="s">
        <v>126</v>
      </c>
      <c r="B30" s="1" t="s">
        <v>127</v>
      </c>
      <c r="C30" s="1" t="s">
        <v>22</v>
      </c>
      <c r="D30" s="1" t="s">
        <v>128</v>
      </c>
      <c r="E30" s="7">
        <v>0.70900510000000005</v>
      </c>
      <c r="F30" s="7">
        <v>6.8000000000000001E-6</v>
      </c>
      <c r="G30" s="7">
        <v>2.2215503214765647E-4</v>
      </c>
      <c r="H30" s="8">
        <v>0.70922725503214767</v>
      </c>
      <c r="I30" s="9">
        <v>1.36E-5</v>
      </c>
      <c r="J30" s="7">
        <v>6.4638569999999999E-4</v>
      </c>
      <c r="K30" s="7">
        <v>3.4400000000000001E-6</v>
      </c>
      <c r="L30" s="7">
        <v>1.443871E-3</v>
      </c>
      <c r="M30" s="7">
        <v>8.1500000000000003E-7</v>
      </c>
      <c r="N30" s="7">
        <v>1.5294620000000001</v>
      </c>
      <c r="O30" s="7">
        <v>1.39E-3</v>
      </c>
      <c r="P30" s="7">
        <v>13.474769999999999</v>
      </c>
      <c r="Q30" s="7">
        <v>2.7300000000000001E-2</v>
      </c>
      <c r="R30" s="7">
        <v>1.3553980000000001E-4</v>
      </c>
      <c r="S30" s="7">
        <v>7.7800000000000001E-7</v>
      </c>
      <c r="T30" s="7">
        <v>6.9326989999999996E-3</v>
      </c>
      <c r="U30" s="7">
        <v>3.8199999999999998E-6</v>
      </c>
      <c r="V30" s="7">
        <v>0.1154811</v>
      </c>
      <c r="W30" s="7">
        <v>4.6800000000000001E-6</v>
      </c>
      <c r="X30" s="7">
        <v>8.3191580000000001E-2</v>
      </c>
      <c r="Y30" s="7">
        <v>1.4899999999999999E-6</v>
      </c>
      <c r="Z30" s="7">
        <v>0.72539350000000002</v>
      </c>
      <c r="AA30" s="7">
        <v>2.1699999999999999E-5</v>
      </c>
      <c r="AB30" s="7">
        <v>8.7055080000000007E-3</v>
      </c>
      <c r="AC30" s="7">
        <v>3.0199999999999999E-5</v>
      </c>
      <c r="AD30" s="7">
        <v>1.946382E-2</v>
      </c>
      <c r="AE30" s="7">
        <v>4.2700000000000001E-5</v>
      </c>
    </row>
    <row r="31" spans="1:34" x14ac:dyDescent="0.25">
      <c r="A31" s="1" t="s">
        <v>126</v>
      </c>
      <c r="B31" s="1" t="s">
        <v>127</v>
      </c>
      <c r="C31" s="1" t="s">
        <v>22</v>
      </c>
      <c r="D31" s="1" t="s">
        <v>129</v>
      </c>
      <c r="E31" s="7">
        <v>0.70907109999999995</v>
      </c>
      <c r="F31" s="7">
        <v>6.3099999999999997E-6</v>
      </c>
      <c r="G31" s="7">
        <v>1.3286529263594721E-4</v>
      </c>
      <c r="H31" s="8">
        <v>0.70920396529263585</v>
      </c>
      <c r="I31" s="9">
        <v>1.2619999999999999E-5</v>
      </c>
      <c r="J31" s="7">
        <v>6.2906379999999997E-4</v>
      </c>
      <c r="K31" s="7">
        <v>2.34E-6</v>
      </c>
      <c r="L31" s="7">
        <v>1.4325189999999999E-3</v>
      </c>
      <c r="M31" s="7">
        <v>5.6899999999999997E-7</v>
      </c>
      <c r="N31" s="7">
        <v>1.5031209999999999</v>
      </c>
      <c r="O31" s="7">
        <v>9.7499999999999996E-4</v>
      </c>
      <c r="P31" s="7">
        <v>14.36293</v>
      </c>
      <c r="Q31" s="7">
        <v>3.32E-2</v>
      </c>
      <c r="R31" s="7">
        <v>1.2755040000000001E-4</v>
      </c>
      <c r="S31" s="7">
        <v>5.2099999999999997E-7</v>
      </c>
      <c r="T31" s="7">
        <v>6.9229900000000004E-3</v>
      </c>
      <c r="U31" s="7">
        <v>2.5799999999999999E-6</v>
      </c>
      <c r="V31" s="7">
        <v>0.11554449999999999</v>
      </c>
      <c r="W31" s="7">
        <v>3.2799999999999999E-6</v>
      </c>
      <c r="X31" s="7">
        <v>8.3224450000000005E-2</v>
      </c>
      <c r="Y31" s="7">
        <v>1.17E-6</v>
      </c>
      <c r="Z31" s="7">
        <v>0.72523950000000004</v>
      </c>
      <c r="AA31" s="7">
        <v>1.3699999999999999E-5</v>
      </c>
      <c r="AB31" s="7">
        <v>9.0315369999999992E-3</v>
      </c>
      <c r="AC31" s="7">
        <v>1.45E-5</v>
      </c>
      <c r="AD31" s="7">
        <v>2.0585780000000001E-2</v>
      </c>
      <c r="AE31" s="7">
        <v>5.3000000000000001E-5</v>
      </c>
    </row>
    <row r="32" spans="1:34" x14ac:dyDescent="0.25">
      <c r="A32" s="1" t="s">
        <v>126</v>
      </c>
      <c r="B32" s="1" t="s">
        <v>130</v>
      </c>
      <c r="C32" s="1" t="s">
        <v>32</v>
      </c>
      <c r="D32" s="1" t="s">
        <v>131</v>
      </c>
      <c r="E32" s="7">
        <v>0.70909009999999995</v>
      </c>
      <c r="F32" s="7">
        <v>5.22E-6</v>
      </c>
      <c r="G32" s="7">
        <v>7.9463363114379529E-5</v>
      </c>
      <c r="H32" s="8">
        <v>0.70916956336311432</v>
      </c>
      <c r="I32" s="9">
        <v>1.044E-5</v>
      </c>
      <c r="J32" s="7">
        <v>6.9020310000000005E-4</v>
      </c>
      <c r="K32" s="7">
        <v>7.7300000000000005E-7</v>
      </c>
      <c r="L32" s="7">
        <v>1.423449E-3</v>
      </c>
      <c r="M32" s="7">
        <v>6.99E-7</v>
      </c>
      <c r="N32" s="7">
        <v>1.493968</v>
      </c>
      <c r="O32" s="7">
        <v>7.9299999999999998E-4</v>
      </c>
      <c r="P32" s="7">
        <v>14.6076</v>
      </c>
      <c r="Q32" s="7">
        <v>4.6600000000000003E-2</v>
      </c>
      <c r="R32" s="7">
        <v>1.3930449999999999E-4</v>
      </c>
      <c r="S32" s="7">
        <v>1.9000000000000001E-7</v>
      </c>
      <c r="T32" s="7">
        <v>6.9870599999999998E-3</v>
      </c>
      <c r="U32" s="7">
        <v>6.2099999999999996E-7</v>
      </c>
      <c r="V32" s="7">
        <v>0.11558880000000001</v>
      </c>
      <c r="W32" s="7">
        <v>1.95E-6</v>
      </c>
      <c r="X32" s="7">
        <v>8.3235970000000006E-2</v>
      </c>
      <c r="Y32" s="7">
        <v>9.9900000000000009E-7</v>
      </c>
      <c r="Z32" s="7">
        <v>0.72502009999999995</v>
      </c>
      <c r="AA32" s="7">
        <v>7.52E-6</v>
      </c>
      <c r="AB32" s="7">
        <v>1.008715E-2</v>
      </c>
      <c r="AC32" s="7">
        <v>3.9400000000000002E-5</v>
      </c>
      <c r="AD32" s="7">
        <v>2.080545E-2</v>
      </c>
      <c r="AE32" s="7">
        <v>6.3299999999999994E-5</v>
      </c>
    </row>
    <row r="33" spans="1:34" x14ac:dyDescent="0.25">
      <c r="A33" s="1" t="s">
        <v>126</v>
      </c>
      <c r="B33" s="1" t="s">
        <v>132</v>
      </c>
      <c r="C33" s="1" t="s">
        <v>77</v>
      </c>
      <c r="D33" s="1" t="s">
        <v>133</v>
      </c>
      <c r="E33" s="7">
        <v>0.70925990000000005</v>
      </c>
      <c r="F33" s="7">
        <v>5.3499999999999996E-6</v>
      </c>
      <c r="G33" s="7">
        <v>-9.2881680000000001E-5</v>
      </c>
      <c r="H33" s="8">
        <v>0.70916701832000006</v>
      </c>
      <c r="I33" s="9">
        <v>1.0699999999999999E-5</v>
      </c>
      <c r="J33" s="7">
        <v>1.195301E-3</v>
      </c>
      <c r="K33" s="7">
        <v>1.59E-6</v>
      </c>
      <c r="L33" s="7">
        <v>2.8369599999999999E-3</v>
      </c>
      <c r="M33" s="7">
        <v>6.6700000000000003E-7</v>
      </c>
      <c r="N33" s="7">
        <v>1.5335179999999999</v>
      </c>
      <c r="O33" s="7">
        <v>9.6100000000000005E-4</v>
      </c>
      <c r="P33" s="7">
        <v>14.853249999999999</v>
      </c>
      <c r="Q33" s="7">
        <v>3.8300000000000001E-2</v>
      </c>
      <c r="R33" s="7">
        <v>2.2107330000000001E-4</v>
      </c>
      <c r="S33" s="7">
        <v>3.6800000000000001E-7</v>
      </c>
      <c r="T33" s="7">
        <v>7.480652E-3</v>
      </c>
      <c r="U33" s="7">
        <v>1.5799999999999999E-6</v>
      </c>
      <c r="V33" s="7">
        <v>0.11564290000000001</v>
      </c>
      <c r="W33" s="7">
        <v>2.4899999999999999E-6</v>
      </c>
      <c r="X33" s="7">
        <v>8.3217959999999994E-2</v>
      </c>
      <c r="Y33" s="7">
        <v>1.0100000000000001E-6</v>
      </c>
      <c r="Z33" s="7">
        <v>0.72941040000000001</v>
      </c>
      <c r="AA33" s="7">
        <v>1.2E-5</v>
      </c>
      <c r="AB33" s="7">
        <v>1.7747800000000001E-2</v>
      </c>
      <c r="AC33" s="7">
        <v>4.46E-5</v>
      </c>
      <c r="AD33" s="7">
        <v>4.2145490000000001E-2</v>
      </c>
      <c r="AE33" s="7">
        <v>1.11E-4</v>
      </c>
    </row>
    <row r="34" spans="1:34" x14ac:dyDescent="0.25">
      <c r="A34" s="1" t="s">
        <v>126</v>
      </c>
      <c r="B34" s="1" t="s">
        <v>132</v>
      </c>
      <c r="C34" s="1" t="s">
        <v>77</v>
      </c>
      <c r="D34" s="1" t="s">
        <v>134</v>
      </c>
      <c r="E34" s="7">
        <v>0.70920190000000005</v>
      </c>
      <c r="F34" s="7">
        <v>5.3299999999999998E-6</v>
      </c>
      <c r="G34" s="7">
        <v>-4.8228260000000004E-5</v>
      </c>
      <c r="H34" s="8">
        <v>0.7091536717400001</v>
      </c>
      <c r="I34" s="9">
        <v>1.066E-5</v>
      </c>
      <c r="J34" s="7">
        <v>9.1370760000000003E-4</v>
      </c>
      <c r="K34" s="7">
        <v>2.39E-6</v>
      </c>
      <c r="L34" s="7">
        <v>2.8236799999999999E-3</v>
      </c>
      <c r="M34" s="7">
        <v>6.7899999999999998E-7</v>
      </c>
      <c r="N34" s="7">
        <v>1.5554269999999999</v>
      </c>
      <c r="O34" s="7">
        <v>5.7600000000000001E-4</v>
      </c>
      <c r="P34" s="7">
        <v>14.32728</v>
      </c>
      <c r="Q34" s="7">
        <v>2.5600000000000001E-2</v>
      </c>
      <c r="R34" s="7">
        <v>1.712819E-4</v>
      </c>
      <c r="S34" s="7">
        <v>5.7400000000000003E-7</v>
      </c>
      <c r="T34" s="7">
        <v>7.192431E-3</v>
      </c>
      <c r="U34" s="7">
        <v>2.52E-6</v>
      </c>
      <c r="V34" s="7">
        <v>0.1154973</v>
      </c>
      <c r="W34" s="7">
        <v>2.1799999999999999E-6</v>
      </c>
      <c r="X34" s="7">
        <v>8.3189360000000004E-2</v>
      </c>
      <c r="Y34" s="7">
        <v>7.5499999999999997E-7</v>
      </c>
      <c r="Z34" s="7">
        <v>0.73006300000000002</v>
      </c>
      <c r="AA34" s="7">
        <v>1.15E-5</v>
      </c>
      <c r="AB34" s="7">
        <v>1.309228E-2</v>
      </c>
      <c r="AC34" s="7">
        <v>1.17E-5</v>
      </c>
      <c r="AD34" s="7">
        <v>4.0478920000000002E-2</v>
      </c>
      <c r="AE34" s="7">
        <v>6.9599999999999998E-5</v>
      </c>
    </row>
    <row r="35" spans="1:34" x14ac:dyDescent="0.25">
      <c r="A35" s="1" t="s">
        <v>126</v>
      </c>
      <c r="B35" s="1" t="s">
        <v>132</v>
      </c>
      <c r="C35" s="1" t="s">
        <v>77</v>
      </c>
      <c r="D35" s="1" t="s">
        <v>135</v>
      </c>
      <c r="E35" s="7">
        <v>0.70924759999999998</v>
      </c>
      <c r="F35" s="7">
        <v>5.4600000000000002E-6</v>
      </c>
      <c r="G35" s="7">
        <v>-3.5130840000000029E-5</v>
      </c>
      <c r="H35" s="8">
        <v>0.70921246916000003</v>
      </c>
      <c r="I35" s="9">
        <v>1.092E-5</v>
      </c>
      <c r="J35" s="7">
        <v>9.0653860000000001E-4</v>
      </c>
      <c r="K35" s="7">
        <v>8.8700000000000004E-7</v>
      </c>
      <c r="L35" s="7">
        <v>2.8184690000000001E-3</v>
      </c>
      <c r="M35" s="7">
        <v>7.3900000000000004E-7</v>
      </c>
      <c r="N35" s="7">
        <v>1.5499270000000001</v>
      </c>
      <c r="O35" s="7">
        <v>7.8200000000000003E-4</v>
      </c>
      <c r="P35" s="7">
        <v>14.89833</v>
      </c>
      <c r="Q35" s="7">
        <v>1.4E-2</v>
      </c>
      <c r="R35" s="7">
        <v>1.673508E-4</v>
      </c>
      <c r="S35" s="7">
        <v>2.3900000000000001E-7</v>
      </c>
      <c r="T35" s="7">
        <v>7.1869890000000004E-3</v>
      </c>
      <c r="U35" s="7">
        <v>9.7900000000000007E-7</v>
      </c>
      <c r="V35" s="7">
        <v>0.115509</v>
      </c>
      <c r="W35" s="7">
        <v>2.1500000000000002E-6</v>
      </c>
      <c r="X35" s="7">
        <v>8.320031E-2</v>
      </c>
      <c r="Y35" s="7">
        <v>8.1900000000000001E-7</v>
      </c>
      <c r="Z35" s="7">
        <v>0.73005379999999997</v>
      </c>
      <c r="AA35" s="7">
        <v>1.2E-5</v>
      </c>
      <c r="AB35" s="7">
        <v>1.350967E-2</v>
      </c>
      <c r="AC35" s="7">
        <v>1.2300000000000001E-5</v>
      </c>
      <c r="AD35" s="7">
        <v>4.2014879999999998E-2</v>
      </c>
      <c r="AE35" s="7">
        <v>3.7799999999999997E-5</v>
      </c>
    </row>
    <row r="36" spans="1:34" x14ac:dyDescent="0.25">
      <c r="A36" s="1" t="s">
        <v>126</v>
      </c>
      <c r="B36" s="1" t="s">
        <v>136</v>
      </c>
      <c r="C36" s="1" t="s">
        <v>86</v>
      </c>
      <c r="D36" s="1" t="s">
        <v>137</v>
      </c>
      <c r="E36" s="7">
        <v>0.70917649999999999</v>
      </c>
      <c r="F36" s="7">
        <v>5.7699999999999998E-6</v>
      </c>
      <c r="G36">
        <v>0</v>
      </c>
      <c r="H36" s="8">
        <v>0.70917649999999999</v>
      </c>
      <c r="I36" s="9">
        <v>1.154E-5</v>
      </c>
      <c r="J36" s="7">
        <v>7.6905439999999995E-4</v>
      </c>
      <c r="K36" s="7">
        <v>2.0499999999999999E-6</v>
      </c>
      <c r="L36" s="7">
        <v>2.7795649999999999E-3</v>
      </c>
      <c r="M36" s="7">
        <v>5.8599999999999998E-7</v>
      </c>
      <c r="N36" s="7">
        <v>1.4946189999999999</v>
      </c>
      <c r="O36" s="7">
        <v>1.66E-3</v>
      </c>
      <c r="P36" s="7">
        <v>15.65668</v>
      </c>
      <c r="Q36" s="7">
        <v>3.4000000000000002E-2</v>
      </c>
      <c r="R36" s="7">
        <v>1.4474790000000001E-4</v>
      </c>
      <c r="S36" s="7">
        <v>5.7400000000000003E-7</v>
      </c>
      <c r="T36" s="7">
        <v>7.0649700000000003E-3</v>
      </c>
      <c r="U36" s="7">
        <v>2.4200000000000001E-6</v>
      </c>
      <c r="V36" s="7">
        <v>0.1156133</v>
      </c>
      <c r="W36" s="7">
        <v>5.1200000000000001E-6</v>
      </c>
      <c r="X36" s="7">
        <v>8.3245429999999995E-2</v>
      </c>
      <c r="Y36" s="7">
        <v>1.6199999999999999E-6</v>
      </c>
      <c r="Z36" s="7">
        <v>0.72963029999999995</v>
      </c>
      <c r="AA36" s="7">
        <v>2.0599999999999999E-5</v>
      </c>
      <c r="AB36" s="7">
        <v>1.2030330000000001E-2</v>
      </c>
      <c r="AC36" s="7">
        <v>1.2E-5</v>
      </c>
      <c r="AD36" s="7">
        <v>4.3514160000000003E-2</v>
      </c>
      <c r="AE36" s="7">
        <v>9.4900000000000003E-5</v>
      </c>
    </row>
    <row r="37" spans="1:34" x14ac:dyDescent="0.25">
      <c r="A37" s="1" t="s">
        <v>126</v>
      </c>
      <c r="B37" s="1" t="s">
        <v>138</v>
      </c>
      <c r="C37" s="1" t="s">
        <v>91</v>
      </c>
      <c r="D37" s="1" t="s">
        <v>139</v>
      </c>
      <c r="E37" s="7">
        <v>0.70908280000000001</v>
      </c>
      <c r="F37" s="7">
        <v>7.4699999999999996E-6</v>
      </c>
      <c r="G37" s="7">
        <v>7.0410250000000002E-5</v>
      </c>
      <c r="H37" s="8">
        <v>0.70915321025</v>
      </c>
      <c r="I37" s="9">
        <v>1.4939999999999999E-5</v>
      </c>
      <c r="J37" s="7">
        <v>1.703495E-3</v>
      </c>
      <c r="K37" s="7">
        <v>4.7600000000000002E-6</v>
      </c>
      <c r="L37" s="7">
        <v>9.1775829999999996E-4</v>
      </c>
      <c r="M37" s="7">
        <v>4.03E-7</v>
      </c>
      <c r="N37" s="7">
        <v>1.5016290000000001</v>
      </c>
      <c r="O37" s="7">
        <v>7.8399999999999997E-4</v>
      </c>
      <c r="P37" s="7">
        <v>7.6986549999999996</v>
      </c>
      <c r="Q37" s="7">
        <v>1.8200000000000001E-2</v>
      </c>
      <c r="R37" s="7">
        <v>3.5515939999999999E-4</v>
      </c>
      <c r="S37" s="7">
        <v>8.6199999999999996E-7</v>
      </c>
      <c r="T37" s="7">
        <v>7.9980220000000005E-3</v>
      </c>
      <c r="U37" s="7">
        <v>4.5800000000000002E-6</v>
      </c>
      <c r="V37" s="7">
        <v>0.1158869</v>
      </c>
      <c r="W37" s="7">
        <v>1.1200000000000001E-6</v>
      </c>
      <c r="X37" s="7">
        <v>8.3227280000000001E-2</v>
      </c>
      <c r="Y37" s="7">
        <v>1.0899999999999999E-6</v>
      </c>
      <c r="Z37" s="7">
        <v>0.72133309999999995</v>
      </c>
      <c r="AA37" s="7">
        <v>9.3600000000000002E-6</v>
      </c>
      <c r="AB37" s="7">
        <v>1.3117709999999999E-2</v>
      </c>
      <c r="AC37" s="7">
        <v>6.2799999999999995E-5</v>
      </c>
      <c r="AD37" s="7">
        <v>7.0786529999999999E-3</v>
      </c>
      <c r="AE37" s="7">
        <v>1.5099999999999999E-5</v>
      </c>
      <c r="AF37" s="1" t="s">
        <v>138</v>
      </c>
      <c r="AG37" s="1" t="s">
        <v>91</v>
      </c>
      <c r="AH37" s="1" t="s">
        <v>139</v>
      </c>
    </row>
    <row r="38" spans="1:34" x14ac:dyDescent="0.25">
      <c r="A38" s="12"/>
      <c r="B38" s="13" t="s">
        <v>140</v>
      </c>
      <c r="C38" s="12"/>
      <c r="G38" s="13" t="s">
        <v>122</v>
      </c>
      <c r="H38" s="14">
        <f>AVERAGE(H30:H37)</f>
        <v>0.70918295664473729</v>
      </c>
    </row>
    <row r="39" spans="1:34" x14ac:dyDescent="0.25">
      <c r="B39" s="13" t="s">
        <v>141</v>
      </c>
      <c r="G39" s="13" t="s">
        <v>124</v>
      </c>
      <c r="H39" s="14">
        <f>2*STDEV(H30:H37)</f>
        <v>5.6021684911049111E-5</v>
      </c>
    </row>
    <row r="40" spans="1:34" x14ac:dyDescent="0.25">
      <c r="G40" s="13" t="s">
        <v>125</v>
      </c>
      <c r="H40" s="15">
        <f>(H39/H38)*1000000</f>
        <v>78.994685907423715</v>
      </c>
    </row>
    <row r="42" spans="1:34" x14ac:dyDescent="0.25">
      <c r="A42" s="1" t="s">
        <v>142</v>
      </c>
      <c r="B42" s="1" t="s">
        <v>143</v>
      </c>
      <c r="C42" s="1" t="s">
        <v>22</v>
      </c>
      <c r="D42" s="1" t="s">
        <v>144</v>
      </c>
      <c r="E42" s="7">
        <v>0.7088314</v>
      </c>
      <c r="F42" s="7">
        <v>1.15E-5</v>
      </c>
      <c r="G42" s="7">
        <v>1.7180422974084959E-4</v>
      </c>
      <c r="H42" s="8">
        <v>0.70900320422974084</v>
      </c>
      <c r="I42" s="9">
        <v>2.3E-5</v>
      </c>
      <c r="J42" s="7">
        <v>2.057049E-3</v>
      </c>
      <c r="K42" s="7">
        <v>1.03E-5</v>
      </c>
      <c r="L42" s="7">
        <v>1.12622E-3</v>
      </c>
      <c r="M42" s="7">
        <v>8.5300000000000003E-7</v>
      </c>
      <c r="N42" s="7">
        <v>1.523855</v>
      </c>
      <c r="O42" s="7">
        <v>1.06E-3</v>
      </c>
      <c r="P42" s="7">
        <v>3.9649260000000002</v>
      </c>
      <c r="Q42" s="7">
        <v>9.7400000000000004E-3</v>
      </c>
      <c r="R42" s="7">
        <v>4.4317640000000001E-4</v>
      </c>
      <c r="S42" s="7">
        <v>2.34E-6</v>
      </c>
      <c r="T42" s="7">
        <v>8.3451010000000006E-3</v>
      </c>
      <c r="U42" s="7">
        <v>1.0499999999999999E-5</v>
      </c>
      <c r="V42" s="7">
        <v>0.1159406</v>
      </c>
      <c r="W42" s="7">
        <v>5.6699999999999999E-6</v>
      </c>
      <c r="X42" s="7">
        <v>8.3177420000000002E-2</v>
      </c>
      <c r="Y42" s="7">
        <v>1.5999999999999999E-6</v>
      </c>
      <c r="Z42" s="7">
        <v>0.7212847</v>
      </c>
      <c r="AA42" s="7">
        <v>2.9499999999999999E-5</v>
      </c>
      <c r="AB42" s="7">
        <v>8.1512640000000001E-3</v>
      </c>
      <c r="AC42" s="7">
        <v>2.2099999999999998E-5</v>
      </c>
      <c r="AD42" s="7">
        <v>4.4634820000000004E-3</v>
      </c>
      <c r="AE42" s="7">
        <v>1.1600000000000001E-5</v>
      </c>
    </row>
    <row r="43" spans="1:34" x14ac:dyDescent="0.25">
      <c r="A43" s="1" t="s">
        <v>142</v>
      </c>
      <c r="B43" s="1" t="s">
        <v>143</v>
      </c>
      <c r="C43" s="1" t="s">
        <v>22</v>
      </c>
      <c r="D43" s="1" t="s">
        <v>145</v>
      </c>
      <c r="E43" s="7">
        <v>0.70899889999999999</v>
      </c>
      <c r="F43" s="7">
        <v>1.06E-5</v>
      </c>
      <c r="G43" s="7">
        <v>1.0275175421387494E-4</v>
      </c>
      <c r="H43" s="8">
        <v>0.70910165175421391</v>
      </c>
      <c r="I43" s="9">
        <v>2.12E-5</v>
      </c>
      <c r="J43" s="7">
        <v>2.0864770000000002E-3</v>
      </c>
      <c r="K43" s="7">
        <v>3.5200000000000002E-6</v>
      </c>
      <c r="L43" s="7">
        <v>1.073252E-3</v>
      </c>
      <c r="M43" s="7">
        <v>7.06E-7</v>
      </c>
      <c r="N43" s="7">
        <v>1.514411</v>
      </c>
      <c r="O43" s="7">
        <v>7.9600000000000005E-4</v>
      </c>
      <c r="P43" s="7">
        <v>4.0962779999999999</v>
      </c>
      <c r="Q43" s="7">
        <v>6.7600000000000004E-3</v>
      </c>
      <c r="R43" s="7">
        <v>4.3932230000000001E-4</v>
      </c>
      <c r="S43" s="7">
        <v>8.1500000000000003E-7</v>
      </c>
      <c r="T43" s="7">
        <v>8.3770370000000004E-3</v>
      </c>
      <c r="U43" s="7">
        <v>3.4199999999999999E-6</v>
      </c>
      <c r="V43" s="7">
        <v>0.11597440000000001</v>
      </c>
      <c r="W43" s="7">
        <v>1.7999999999999999E-6</v>
      </c>
      <c r="X43" s="7">
        <v>8.3204410000000006E-2</v>
      </c>
      <c r="Y43" s="7">
        <v>1.24E-6</v>
      </c>
      <c r="Z43" s="7">
        <v>0.72114710000000004</v>
      </c>
      <c r="AA43" s="7">
        <v>1.4800000000000001E-5</v>
      </c>
      <c r="AB43" s="7">
        <v>8.5475340000000007E-3</v>
      </c>
      <c r="AC43" s="7">
        <v>2.58E-5</v>
      </c>
      <c r="AD43" s="7">
        <v>4.3961419999999996E-3</v>
      </c>
      <c r="AE43" s="7">
        <v>6.8499999999999996E-6</v>
      </c>
    </row>
    <row r="44" spans="1:34" x14ac:dyDescent="0.25">
      <c r="A44" s="1" t="s">
        <v>142</v>
      </c>
      <c r="B44" s="1" t="s">
        <v>146</v>
      </c>
      <c r="C44" s="1" t="s">
        <v>32</v>
      </c>
      <c r="D44" s="1" t="s">
        <v>147</v>
      </c>
      <c r="E44" s="7">
        <v>0.70907830000000005</v>
      </c>
      <c r="F44" s="7">
        <v>1.26E-5</v>
      </c>
      <c r="G44" s="7">
        <v>6.1453219224894486E-5</v>
      </c>
      <c r="H44" s="8">
        <v>0.70913975321922496</v>
      </c>
      <c r="I44" s="9">
        <v>2.5199999999999999E-5</v>
      </c>
      <c r="J44" s="7">
        <v>2.4315560000000001E-3</v>
      </c>
      <c r="K44" s="7">
        <v>2.2199999999999999E-6</v>
      </c>
      <c r="L44" s="7">
        <v>1.0537529999999999E-3</v>
      </c>
      <c r="M44" s="7">
        <v>5.37E-7</v>
      </c>
      <c r="N44" s="7">
        <v>1.497725</v>
      </c>
      <c r="O44" s="7">
        <v>6.9300000000000004E-4</v>
      </c>
      <c r="P44" s="7">
        <v>4.214995</v>
      </c>
      <c r="Q44" s="7">
        <v>6.2700000000000004E-3</v>
      </c>
      <c r="R44" s="7">
        <v>5.0774649999999995E-4</v>
      </c>
      <c r="S44" s="7">
        <v>6.9500000000000002E-7</v>
      </c>
      <c r="T44" s="7">
        <v>8.7270290000000007E-3</v>
      </c>
      <c r="U44" s="7">
        <v>2.1600000000000001E-6</v>
      </c>
      <c r="V44" s="7">
        <v>0.1161263</v>
      </c>
      <c r="W44" s="7">
        <v>1.7099999999999999E-6</v>
      </c>
      <c r="X44" s="7">
        <v>8.3229559999999994E-2</v>
      </c>
      <c r="Y44" s="7">
        <v>1.61E-6</v>
      </c>
      <c r="Z44" s="7">
        <v>0.72035059999999995</v>
      </c>
      <c r="AA44" s="7">
        <v>1.4800000000000001E-5</v>
      </c>
      <c r="AB44" s="7">
        <v>1.0255490000000001E-2</v>
      </c>
      <c r="AC44" s="7">
        <v>1.9700000000000001E-5</v>
      </c>
      <c r="AD44" s="7">
        <v>4.4449490000000001E-3</v>
      </c>
      <c r="AE44" s="7">
        <v>7.4499999999999998E-6</v>
      </c>
    </row>
    <row r="45" spans="1:34" x14ac:dyDescent="0.25">
      <c r="A45" s="1" t="s">
        <v>142</v>
      </c>
      <c r="B45" s="1" t="s">
        <v>148</v>
      </c>
      <c r="C45" s="1" t="s">
        <v>77</v>
      </c>
      <c r="D45" s="1" t="s">
        <v>149</v>
      </c>
      <c r="E45" s="7">
        <v>0.70916330000000005</v>
      </c>
      <c r="F45" s="7">
        <v>1.0200000000000001E-5</v>
      </c>
      <c r="G45" s="7">
        <v>-6.6322350000000004E-5</v>
      </c>
      <c r="H45" s="8">
        <v>0.70909697765000002</v>
      </c>
      <c r="I45" s="9">
        <v>2.0400000000000001E-5</v>
      </c>
      <c r="J45" s="7">
        <v>2.4432540000000002E-3</v>
      </c>
      <c r="K45" s="7">
        <v>6.1700000000000002E-6</v>
      </c>
      <c r="L45" s="7">
        <v>7.1917680000000003E-4</v>
      </c>
      <c r="M45" s="7">
        <v>4.9699999999999996E-7</v>
      </c>
      <c r="N45" s="7">
        <v>1.560821</v>
      </c>
      <c r="O45" s="7">
        <v>5.1500000000000005E-4</v>
      </c>
      <c r="P45" s="7">
        <v>5.494961</v>
      </c>
      <c r="Q45" s="7">
        <v>9.7999999999999997E-3</v>
      </c>
      <c r="R45" s="7">
        <v>4.8665200000000002E-4</v>
      </c>
      <c r="S45" s="7">
        <v>1.35E-6</v>
      </c>
      <c r="T45" s="7">
        <v>8.7204039999999993E-3</v>
      </c>
      <c r="U45" s="7">
        <v>6.2099999999999998E-6</v>
      </c>
      <c r="V45" s="7">
        <v>0.11596480000000001</v>
      </c>
      <c r="W45" s="7">
        <v>2.5600000000000001E-6</v>
      </c>
      <c r="X45" s="7">
        <v>8.3180340000000005E-2</v>
      </c>
      <c r="Y45" s="7">
        <v>1.28E-6</v>
      </c>
      <c r="Z45" s="7">
        <v>0.71977069999999999</v>
      </c>
      <c r="AA45" s="7">
        <v>1.8700000000000001E-5</v>
      </c>
      <c r="AB45" s="7">
        <v>1.343665E-2</v>
      </c>
      <c r="AC45" s="7">
        <v>1.15E-5</v>
      </c>
      <c r="AD45" s="7">
        <v>3.952555E-3</v>
      </c>
      <c r="AE45" s="7">
        <v>5.5400000000000003E-6</v>
      </c>
    </row>
    <row r="46" spans="1:34" x14ac:dyDescent="0.25">
      <c r="A46" s="1" t="s">
        <v>142</v>
      </c>
      <c r="B46" s="1" t="s">
        <v>148</v>
      </c>
      <c r="C46" s="1" t="s">
        <v>77</v>
      </c>
      <c r="D46" s="1" t="s">
        <v>150</v>
      </c>
      <c r="E46" s="7">
        <v>0.70912810000000004</v>
      </c>
      <c r="F46" s="7">
        <v>8.6400000000000003E-6</v>
      </c>
      <c r="G46" s="7">
        <v>-3.802317000000001E-5</v>
      </c>
      <c r="H46" s="8">
        <v>0.70909007683000003</v>
      </c>
      <c r="I46" s="9">
        <v>1.7280000000000001E-5</v>
      </c>
      <c r="J46" s="7">
        <v>1.9127370000000001E-3</v>
      </c>
      <c r="K46" s="7">
        <v>7.4100000000000002E-6</v>
      </c>
      <c r="L46" s="7">
        <v>7.2692500000000001E-4</v>
      </c>
      <c r="M46" s="7">
        <v>5.4199999999999996E-7</v>
      </c>
      <c r="N46" s="7">
        <v>1.5622769999999999</v>
      </c>
      <c r="O46" s="7">
        <v>6.7100000000000005E-4</v>
      </c>
      <c r="P46" s="7">
        <v>5.7389270000000003</v>
      </c>
      <c r="Q46" s="7">
        <v>1.09E-2</v>
      </c>
      <c r="R46" s="7">
        <v>3.8478619999999999E-4</v>
      </c>
      <c r="S46" s="7">
        <v>1.57E-6</v>
      </c>
      <c r="T46" s="7">
        <v>8.1895330000000006E-3</v>
      </c>
      <c r="U46" s="7">
        <v>7.4800000000000004E-6</v>
      </c>
      <c r="V46" s="7">
        <v>0.1157937</v>
      </c>
      <c r="W46" s="7">
        <v>3.3900000000000002E-6</v>
      </c>
      <c r="X46" s="7">
        <v>8.3174620000000005E-2</v>
      </c>
      <c r="Y46" s="7">
        <v>9.9699999999999994E-7</v>
      </c>
      <c r="Z46" s="7">
        <v>0.72081470000000003</v>
      </c>
      <c r="AA46" s="7">
        <v>2.0599999999999999E-5</v>
      </c>
      <c r="AB46" s="7">
        <v>1.0979940000000001E-2</v>
      </c>
      <c r="AC46" s="7">
        <v>2.2500000000000001E-5</v>
      </c>
      <c r="AD46" s="7">
        <v>4.1753529999999997E-3</v>
      </c>
      <c r="AE46" s="7">
        <v>6.9199999999999998E-6</v>
      </c>
    </row>
    <row r="47" spans="1:34" x14ac:dyDescent="0.25">
      <c r="A47" s="1" t="s">
        <v>142</v>
      </c>
      <c r="B47" s="1" t="s">
        <v>151</v>
      </c>
      <c r="C47" s="1" t="s">
        <v>86</v>
      </c>
      <c r="D47" s="1" t="s">
        <v>152</v>
      </c>
      <c r="E47" s="7">
        <v>0.70915349999999999</v>
      </c>
      <c r="F47" s="7">
        <v>9.5000000000000005E-6</v>
      </c>
      <c r="G47" s="7">
        <v>-3.7222890000000012E-5</v>
      </c>
      <c r="H47" s="8">
        <v>0.70911627711000003</v>
      </c>
      <c r="I47" s="9">
        <v>1.9000000000000001E-5</v>
      </c>
      <c r="J47" s="7">
        <v>1.9257790000000001E-3</v>
      </c>
      <c r="K47" s="7">
        <v>8.7099999999999996E-6</v>
      </c>
      <c r="L47" s="7">
        <v>7.152851E-4</v>
      </c>
      <c r="M47" s="7">
        <v>4.7300000000000001E-7</v>
      </c>
      <c r="N47" s="7">
        <v>1.566133</v>
      </c>
      <c r="O47" s="7">
        <v>6.2E-4</v>
      </c>
      <c r="P47" s="7">
        <v>5.7551480000000002</v>
      </c>
      <c r="Q47" s="7">
        <v>1.6500000000000001E-2</v>
      </c>
      <c r="R47" s="7">
        <v>3.8782740000000001E-4</v>
      </c>
      <c r="S47" s="7">
        <v>1.95E-6</v>
      </c>
      <c r="T47" s="7">
        <v>8.2016160000000001E-3</v>
      </c>
      <c r="U47" s="7">
        <v>8.8300000000000002E-6</v>
      </c>
      <c r="V47" s="7">
        <v>0.11578919999999999</v>
      </c>
      <c r="W47" s="7">
        <v>4.1500000000000001E-6</v>
      </c>
      <c r="X47" s="7">
        <v>8.3175600000000002E-2</v>
      </c>
      <c r="Y47" s="7">
        <v>9.850000000000001E-7</v>
      </c>
      <c r="Z47" s="7">
        <v>0.72079729999999997</v>
      </c>
      <c r="AA47" s="7">
        <v>2.37E-5</v>
      </c>
      <c r="AB47" s="7">
        <v>1.107621E-2</v>
      </c>
      <c r="AC47" s="7">
        <v>1.9599999999999999E-5</v>
      </c>
      <c r="AD47" s="7">
        <v>4.1202749999999996E-3</v>
      </c>
      <c r="AE47" s="7">
        <v>1.0900000000000001E-5</v>
      </c>
    </row>
    <row r="48" spans="1:34" x14ac:dyDescent="0.25">
      <c r="A48" s="1" t="s">
        <v>142</v>
      </c>
      <c r="B48" s="1" t="s">
        <v>151</v>
      </c>
      <c r="C48" s="1" t="s">
        <v>86</v>
      </c>
      <c r="D48" s="1" t="s">
        <v>153</v>
      </c>
      <c r="E48" s="7">
        <v>0.70916970000000001</v>
      </c>
      <c r="F48" s="7">
        <v>8.7299999999999994E-6</v>
      </c>
      <c r="G48">
        <v>0</v>
      </c>
      <c r="H48" s="8">
        <f t="shared" ref="H48" si="0">E48+G48</f>
        <v>0.70916970000000001</v>
      </c>
      <c r="I48" s="9">
        <f t="shared" ref="I48" si="1">2*F48</f>
        <v>1.7459999999999999E-5</v>
      </c>
      <c r="J48" s="7">
        <v>1.797369E-3</v>
      </c>
      <c r="K48" s="7">
        <v>2.03E-6</v>
      </c>
      <c r="L48" s="7">
        <v>6.9428980000000001E-4</v>
      </c>
      <c r="M48" s="7">
        <v>4.27E-7</v>
      </c>
      <c r="N48" s="7">
        <v>1.509776</v>
      </c>
      <c r="O48" s="7">
        <v>6.38E-4</v>
      </c>
      <c r="P48" s="7">
        <v>6.2414759999999996</v>
      </c>
      <c r="Q48" s="7">
        <v>8.7500000000000008E-3</v>
      </c>
      <c r="R48" s="7">
        <v>3.6379689999999998E-4</v>
      </c>
      <c r="S48" s="7">
        <v>5.51E-7</v>
      </c>
      <c r="T48" s="7">
        <v>8.0894569999999996E-3</v>
      </c>
      <c r="U48" s="7">
        <v>2.04E-6</v>
      </c>
      <c r="V48" s="7">
        <v>0.115894</v>
      </c>
      <c r="W48" s="7">
        <v>1.75E-6</v>
      </c>
      <c r="X48" s="7">
        <v>8.3229269999999994E-2</v>
      </c>
      <c r="Y48" s="7">
        <v>1.22E-6</v>
      </c>
      <c r="Z48" s="7">
        <v>0.72054039999999997</v>
      </c>
      <c r="AA48" s="7">
        <v>1.22E-5</v>
      </c>
      <c r="AB48" s="7">
        <v>1.120995E-2</v>
      </c>
      <c r="AC48" s="7">
        <v>1.01E-5</v>
      </c>
      <c r="AD48" s="7">
        <v>4.3321380000000001E-3</v>
      </c>
      <c r="AE48" s="7">
        <v>5.2700000000000004E-6</v>
      </c>
    </row>
    <row r="49" spans="1:34" x14ac:dyDescent="0.25">
      <c r="A49" s="1" t="s">
        <v>142</v>
      </c>
      <c r="B49" s="1" t="s">
        <v>154</v>
      </c>
      <c r="C49" s="1" t="s">
        <v>91</v>
      </c>
      <c r="D49" s="1" t="s">
        <v>155</v>
      </c>
      <c r="E49" s="7">
        <v>0.70908110000000002</v>
      </c>
      <c r="F49" s="7">
        <v>5.7400000000000001E-6</v>
      </c>
      <c r="G49" s="7">
        <v>6.389756E-5</v>
      </c>
      <c r="H49" s="8">
        <v>0.70914499756000005</v>
      </c>
      <c r="I49" s="9">
        <v>1.148E-5</v>
      </c>
      <c r="J49" s="7">
        <v>7.0678150000000003E-4</v>
      </c>
      <c r="K49" s="7">
        <v>2.0600000000000002E-6</v>
      </c>
      <c r="L49" s="7">
        <v>2.7145960000000001E-3</v>
      </c>
      <c r="M49" s="7">
        <v>4.6199999999999998E-7</v>
      </c>
      <c r="N49" s="7">
        <v>1.477571</v>
      </c>
      <c r="O49" s="7">
        <v>7.4899999999999999E-4</v>
      </c>
      <c r="P49" s="7">
        <v>18.43927</v>
      </c>
      <c r="Q49" s="7">
        <v>3.9300000000000002E-2</v>
      </c>
      <c r="R49" s="7">
        <v>1.4713620000000001E-4</v>
      </c>
      <c r="S49" s="7">
        <v>5.3399999999999999E-7</v>
      </c>
      <c r="T49" s="7">
        <v>7.0082729999999998E-3</v>
      </c>
      <c r="U49" s="7">
        <v>2.2199999999999999E-6</v>
      </c>
      <c r="V49" s="7">
        <v>0.1156373</v>
      </c>
      <c r="W49" s="7">
        <v>2.4899999999999999E-6</v>
      </c>
      <c r="X49" s="7">
        <v>8.3249920000000005E-2</v>
      </c>
      <c r="Y49" s="7">
        <v>1.13E-6</v>
      </c>
      <c r="Z49" s="7">
        <v>0.72930039999999996</v>
      </c>
      <c r="AA49" s="7">
        <v>9.3300000000000005E-6</v>
      </c>
      <c r="AB49" s="7">
        <v>1.301337E-2</v>
      </c>
      <c r="AC49" s="7">
        <v>1.0499999999999999E-5</v>
      </c>
      <c r="AD49" s="7">
        <v>5.0057619999999997E-2</v>
      </c>
      <c r="AE49" s="7">
        <v>1.06E-4</v>
      </c>
      <c r="AF49" s="1" t="s">
        <v>154</v>
      </c>
      <c r="AG49" s="1" t="s">
        <v>91</v>
      </c>
      <c r="AH49" s="1" t="s">
        <v>155</v>
      </c>
    </row>
    <row r="50" spans="1:34" x14ac:dyDescent="0.25">
      <c r="A50" s="12"/>
      <c r="B50" s="13" t="s">
        <v>156</v>
      </c>
      <c r="C50" s="12"/>
      <c r="G50" s="13" t="s">
        <v>122</v>
      </c>
      <c r="H50" s="14">
        <f>AVERAGE(H42:H49)</f>
        <v>0.70910782979414744</v>
      </c>
    </row>
    <row r="51" spans="1:34" x14ac:dyDescent="0.25">
      <c r="B51" s="13" t="s">
        <v>141</v>
      </c>
      <c r="G51" s="13" t="s">
        <v>124</v>
      </c>
      <c r="H51" s="14">
        <f>2*STDEV(H42:H49)</f>
        <v>1.0061934229828407E-4</v>
      </c>
    </row>
    <row r="52" spans="1:34" x14ac:dyDescent="0.25">
      <c r="G52" s="13" t="s">
        <v>125</v>
      </c>
      <c r="H52" s="15">
        <f>(H51/H50)*1000000</f>
        <v>141.89568648183405</v>
      </c>
    </row>
    <row r="53" spans="1:34" x14ac:dyDescent="0.25">
      <c r="B53" s="5" t="s">
        <v>157</v>
      </c>
    </row>
    <row r="54" spans="1:34" x14ac:dyDescent="0.25">
      <c r="A54" s="1" t="s">
        <v>28</v>
      </c>
      <c r="B54" s="1" t="s">
        <v>29</v>
      </c>
      <c r="C54" s="1" t="s">
        <v>22</v>
      </c>
      <c r="D54" s="1" t="s">
        <v>30</v>
      </c>
      <c r="E54" s="7">
        <v>0.70879510000000001</v>
      </c>
      <c r="F54" s="7">
        <v>6.8199999999999999E-6</v>
      </c>
      <c r="G54" s="7">
        <v>1.9181032525213414E-4</v>
      </c>
      <c r="H54" s="8">
        <v>0.70898691032525218</v>
      </c>
      <c r="I54" s="9">
        <v>1.364E-5</v>
      </c>
      <c r="J54" s="7">
        <v>7.3344109999999997E-4</v>
      </c>
      <c r="K54" s="7">
        <v>1.53E-6</v>
      </c>
      <c r="L54" s="7">
        <v>3.017955E-4</v>
      </c>
      <c r="M54" s="7">
        <v>4.3500000000000002E-7</v>
      </c>
      <c r="N54" s="7">
        <v>1.542395</v>
      </c>
      <c r="O54" s="7">
        <v>5.3700000000000004E-4</v>
      </c>
      <c r="P54" s="7">
        <v>10.671110000000001</v>
      </c>
      <c r="Q54" s="7">
        <v>1.8100000000000002E-2</v>
      </c>
      <c r="R54" s="7">
        <v>1.5627269999999999E-4</v>
      </c>
      <c r="S54" s="7">
        <v>2.6600000000000003E-7</v>
      </c>
      <c r="T54" s="7">
        <v>7.0160379999999996E-3</v>
      </c>
      <c r="U54" s="7">
        <v>1.59E-6</v>
      </c>
      <c r="V54" s="7">
        <v>0.1154747</v>
      </c>
      <c r="W54" s="7">
        <v>1.59E-6</v>
      </c>
      <c r="X54" s="7">
        <v>8.3154580000000006E-2</v>
      </c>
      <c r="Y54" s="7">
        <v>8.4799999999999997E-7</v>
      </c>
      <c r="Z54" s="7">
        <v>0.72115689999999999</v>
      </c>
      <c r="AA54" s="7">
        <v>1.0200000000000001E-5</v>
      </c>
      <c r="AB54" s="7">
        <v>7.8160049999999991E-3</v>
      </c>
      <c r="AC54" s="7">
        <v>1.49E-5</v>
      </c>
      <c r="AD54" s="7">
        <v>3.22683E-3</v>
      </c>
      <c r="AE54" s="7">
        <v>5.0499999999999999E-6</v>
      </c>
    </row>
    <row r="55" spans="1:34" x14ac:dyDescent="0.25">
      <c r="A55" s="1" t="s">
        <v>28</v>
      </c>
      <c r="B55" s="1" t="s">
        <v>31</v>
      </c>
      <c r="C55" s="1" t="s">
        <v>32</v>
      </c>
      <c r="D55" s="1" t="s">
        <v>33</v>
      </c>
      <c r="E55" s="7">
        <v>0.70893729999999999</v>
      </c>
      <c r="F55" s="7">
        <v>7.7999999999999999E-6</v>
      </c>
      <c r="G55" s="7">
        <v>5.3059171576555523E-5</v>
      </c>
      <c r="H55" s="8">
        <v>0.7089903591715766</v>
      </c>
      <c r="I55" s="9">
        <v>1.56E-5</v>
      </c>
      <c r="J55" s="7">
        <v>8.8798139999999995E-4</v>
      </c>
      <c r="K55" s="7">
        <v>2.7E-6</v>
      </c>
      <c r="L55" s="7">
        <v>2.6305710000000001E-4</v>
      </c>
      <c r="M55" s="7">
        <v>2.23E-7</v>
      </c>
      <c r="N55" s="7">
        <v>1.5138160000000001</v>
      </c>
      <c r="O55" s="7">
        <v>5.8900000000000001E-4</v>
      </c>
      <c r="P55" s="7">
        <v>11.269399999999999</v>
      </c>
      <c r="Q55" s="7">
        <v>1.4800000000000001E-2</v>
      </c>
      <c r="R55" s="7">
        <v>1.8141979999999999E-4</v>
      </c>
      <c r="S55" s="7">
        <v>5.2900000000000004E-7</v>
      </c>
      <c r="T55" s="7">
        <v>7.1789269999999999E-3</v>
      </c>
      <c r="U55" s="7">
        <v>2.8100000000000002E-6</v>
      </c>
      <c r="V55" s="7">
        <v>0.1155983</v>
      </c>
      <c r="W55" s="7">
        <v>2.17E-6</v>
      </c>
      <c r="X55" s="7">
        <v>8.3198640000000004E-2</v>
      </c>
      <c r="Y55" s="7">
        <v>9.95E-7</v>
      </c>
      <c r="Z55" s="7">
        <v>0.72062729999999997</v>
      </c>
      <c r="AA55" s="7">
        <v>1.27E-5</v>
      </c>
      <c r="AB55" s="7">
        <v>1.001111E-2</v>
      </c>
      <c r="AC55" s="7">
        <v>1.9599999999999999E-5</v>
      </c>
      <c r="AD55" s="7">
        <v>2.9670400000000002E-3</v>
      </c>
      <c r="AE55" s="7">
        <v>4.6299999999999997E-6</v>
      </c>
    </row>
    <row r="56" spans="1:34" x14ac:dyDescent="0.25">
      <c r="G56" s="13" t="s">
        <v>122</v>
      </c>
      <c r="H56" s="14">
        <f>AVERAGE(H54,H55)</f>
        <v>0.70898863474841445</v>
      </c>
    </row>
    <row r="57" spans="1:34" x14ac:dyDescent="0.25">
      <c r="G57" s="13" t="s">
        <v>158</v>
      </c>
      <c r="H57" s="19">
        <f>ABS(H54-H55)/AVERAGE(H54,H55)</f>
        <v>4.8644592527781088E-6</v>
      </c>
    </row>
    <row r="59" spans="1:34" x14ac:dyDescent="0.25">
      <c r="A59" s="1" t="s">
        <v>68</v>
      </c>
      <c r="B59" s="1" t="s">
        <v>69</v>
      </c>
      <c r="C59" s="1" t="s">
        <v>32</v>
      </c>
      <c r="D59" s="1" t="s">
        <v>70</v>
      </c>
      <c r="E59" s="7">
        <v>0.70832660000000003</v>
      </c>
      <c r="F59" s="7">
        <v>5.2800000000000003E-6</v>
      </c>
      <c r="G59" s="7">
        <v>7.3837138058202489E-5</v>
      </c>
      <c r="H59" s="8">
        <v>0.70840043713805823</v>
      </c>
      <c r="I59" s="9">
        <v>1.0560000000000001E-5</v>
      </c>
      <c r="J59" s="7">
        <v>7.3107369999999997E-4</v>
      </c>
      <c r="K59" s="7">
        <v>6.9999999999999997E-7</v>
      </c>
      <c r="L59" s="7">
        <v>7.7605680000000007E-5</v>
      </c>
      <c r="M59" s="7">
        <v>1.5300000000000001E-7</v>
      </c>
      <c r="N59" s="7">
        <v>1.5062709999999999</v>
      </c>
      <c r="O59" s="7">
        <v>4.5899999999999999E-4</v>
      </c>
      <c r="P59" s="7">
        <v>14.80162</v>
      </c>
      <c r="Q59" s="7">
        <v>2.24E-2</v>
      </c>
      <c r="R59" s="7">
        <v>1.4817110000000001E-4</v>
      </c>
      <c r="S59" s="7">
        <v>1.3199999999999999E-7</v>
      </c>
      <c r="T59" s="7">
        <v>7.0239530000000003E-3</v>
      </c>
      <c r="U59" s="7">
        <v>6.6400000000000002E-7</v>
      </c>
      <c r="V59" s="7">
        <v>0.11556900000000001</v>
      </c>
      <c r="W59" s="7">
        <v>1.1000000000000001E-6</v>
      </c>
      <c r="X59" s="7">
        <v>8.3134650000000004E-2</v>
      </c>
      <c r="Y59" s="7">
        <v>8.2699999999999998E-7</v>
      </c>
      <c r="Z59" s="7">
        <v>0.7196089</v>
      </c>
      <c r="AA59" s="7">
        <v>6.8199999999999999E-6</v>
      </c>
      <c r="AB59" s="7">
        <v>1.0812820000000001E-2</v>
      </c>
      <c r="AC59" s="7">
        <v>1.3699999999999999E-5</v>
      </c>
      <c r="AD59" s="7">
        <v>1.147864E-3</v>
      </c>
      <c r="AE59" s="7">
        <v>1.72E-6</v>
      </c>
    </row>
    <row r="60" spans="1:34" x14ac:dyDescent="0.25">
      <c r="A60" s="1" t="s">
        <v>68</v>
      </c>
      <c r="B60" s="1" t="s">
        <v>71</v>
      </c>
      <c r="C60" s="1" t="s">
        <v>32</v>
      </c>
      <c r="D60" s="1" t="s">
        <v>72</v>
      </c>
      <c r="E60" s="7">
        <v>0.70833120000000005</v>
      </c>
      <c r="F60" s="7">
        <v>5.3000000000000001E-6</v>
      </c>
      <c r="G60" s="7">
        <v>5.114632354962212E-5</v>
      </c>
      <c r="H60" s="8">
        <v>0.70838234632354968</v>
      </c>
      <c r="I60" s="9">
        <v>1.06E-5</v>
      </c>
      <c r="J60" s="7">
        <v>7.3318799999999996E-4</v>
      </c>
      <c r="K60" s="7">
        <v>1.42E-6</v>
      </c>
      <c r="L60" s="7">
        <v>7.1819949999999997E-5</v>
      </c>
      <c r="M60" s="7">
        <v>1.29E-7</v>
      </c>
      <c r="N60" s="7">
        <v>1.5155000000000001</v>
      </c>
      <c r="O60" s="7">
        <v>3.6999999999999999E-4</v>
      </c>
      <c r="P60" s="7">
        <v>15.225680000000001</v>
      </c>
      <c r="Q60" s="7">
        <v>1.3100000000000001E-2</v>
      </c>
      <c r="R60" s="7">
        <v>1.4780279999999999E-4</v>
      </c>
      <c r="S60" s="7">
        <v>2.8200000000000001E-7</v>
      </c>
      <c r="T60" s="7">
        <v>7.0235810000000001E-3</v>
      </c>
      <c r="U60" s="7">
        <v>1.42E-6</v>
      </c>
      <c r="V60" s="7">
        <v>0.1155453</v>
      </c>
      <c r="W60" s="7">
        <v>1.06E-6</v>
      </c>
      <c r="X60" s="7">
        <v>8.3125550000000006E-2</v>
      </c>
      <c r="Y60" s="7">
        <v>7.2600000000000002E-7</v>
      </c>
      <c r="Z60" s="7">
        <v>0.71966799999999997</v>
      </c>
      <c r="AA60" s="7">
        <v>6.5100000000000004E-6</v>
      </c>
      <c r="AB60" s="7">
        <v>1.117376E-2</v>
      </c>
      <c r="AC60" s="7">
        <v>2.3600000000000001E-5</v>
      </c>
      <c r="AD60" s="7">
        <v>1.09384E-3</v>
      </c>
      <c r="AE60" s="7">
        <v>2.0999999999999998E-6</v>
      </c>
    </row>
    <row r="61" spans="1:34" x14ac:dyDescent="0.25">
      <c r="G61" s="13" t="s">
        <v>122</v>
      </c>
      <c r="H61" s="14">
        <f>AVERAGE(H59,H60)</f>
        <v>0.70839139173080401</v>
      </c>
    </row>
    <row r="62" spans="1:34" x14ac:dyDescent="0.25">
      <c r="G62" s="13" t="s">
        <v>158</v>
      </c>
      <c r="H62" s="19">
        <f>ABS(H59-H60)/AVERAGE(H59,H60)</f>
        <v>2.5537880216671272E-5</v>
      </c>
    </row>
    <row r="63" spans="1:34" s="16" customFormat="1" ht="15" x14ac:dyDescent="0.25">
      <c r="E63" s="17"/>
      <c r="F63" s="17"/>
      <c r="G63" s="17"/>
      <c r="H63" s="18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 spans="1:34" x14ac:dyDescent="0.25">
      <c r="B64" s="5" t="s">
        <v>159</v>
      </c>
    </row>
    <row r="65" spans="1:31" x14ac:dyDescent="0.25">
      <c r="A65" s="1" t="s">
        <v>73</v>
      </c>
      <c r="B65" s="1" t="s">
        <v>74</v>
      </c>
      <c r="C65" s="1" t="s">
        <v>32</v>
      </c>
      <c r="D65" s="1" t="s">
        <v>75</v>
      </c>
      <c r="E65" s="7">
        <v>0.70768799999999998</v>
      </c>
      <c r="F65" s="7">
        <v>1.11E-5</v>
      </c>
      <c r="G65" s="7">
        <v>7.1175218928061954E-5</v>
      </c>
      <c r="H65" s="8">
        <v>0.70775917521892806</v>
      </c>
      <c r="I65" s="9">
        <v>2.2200000000000001E-5</v>
      </c>
      <c r="J65" s="7">
        <v>1.8555519999999999E-3</v>
      </c>
      <c r="K65" s="7">
        <v>2.2400000000000002E-6</v>
      </c>
      <c r="L65" s="7">
        <v>1.478234E-4</v>
      </c>
      <c r="M65" s="7">
        <v>4.0900000000000002E-7</v>
      </c>
      <c r="N65" s="7">
        <v>1.5136350000000001</v>
      </c>
      <c r="O65" s="7">
        <v>6.4199999999999999E-4</v>
      </c>
      <c r="P65" s="7">
        <v>4.5144289999999998</v>
      </c>
      <c r="Q65" s="7">
        <v>4.5700000000000003E-3</v>
      </c>
      <c r="R65" s="7">
        <v>3.9810060000000001E-4</v>
      </c>
      <c r="S65" s="7">
        <v>5.5499999999999998E-7</v>
      </c>
      <c r="T65" s="7">
        <v>8.1465849999999996E-3</v>
      </c>
      <c r="U65" s="7">
        <v>2.1600000000000001E-6</v>
      </c>
      <c r="V65" s="7">
        <v>0.1159041</v>
      </c>
      <c r="W65" s="7">
        <v>1.7400000000000001E-6</v>
      </c>
      <c r="X65" s="7">
        <v>8.3052130000000002E-2</v>
      </c>
      <c r="Y65" s="7">
        <v>1.4100000000000001E-6</v>
      </c>
      <c r="Z65" s="7">
        <v>0.71706829999999999</v>
      </c>
      <c r="AA65" s="7">
        <v>1.2500000000000001E-5</v>
      </c>
      <c r="AB65" s="7">
        <v>8.364682E-3</v>
      </c>
      <c r="AC65" s="7">
        <v>1.2999999999999999E-5</v>
      </c>
      <c r="AD65" s="7">
        <v>6.6771579999999999E-4</v>
      </c>
      <c r="AE65" s="7">
        <v>1.9599999999999999E-6</v>
      </c>
    </row>
    <row r="66" spans="1:31" x14ac:dyDescent="0.25">
      <c r="A66" s="1" t="s">
        <v>73</v>
      </c>
      <c r="B66" s="1" t="s">
        <v>76</v>
      </c>
      <c r="C66" s="1" t="s">
        <v>77</v>
      </c>
      <c r="D66" s="1" t="s">
        <v>78</v>
      </c>
      <c r="E66" s="7">
        <v>0.70786230000000006</v>
      </c>
      <c r="F66" s="7">
        <v>5.5899999999999998E-6</v>
      </c>
      <c r="G66" s="7">
        <v>-3.5281010000000017E-5</v>
      </c>
      <c r="H66" s="8">
        <v>0.70782701899</v>
      </c>
      <c r="I66" s="9">
        <v>1.118E-5</v>
      </c>
      <c r="J66" s="7">
        <v>9.9546620000000004E-4</v>
      </c>
      <c r="K66" s="7">
        <v>2.6900000000000001E-6</v>
      </c>
      <c r="L66" s="7">
        <v>9.5390789999999994E-5</v>
      </c>
      <c r="M66" s="7">
        <v>1.7499999999999999E-7</v>
      </c>
      <c r="N66" s="7">
        <v>1.5626690000000001</v>
      </c>
      <c r="O66" s="7">
        <v>3.9300000000000001E-4</v>
      </c>
      <c r="P66" s="7">
        <v>14.51975</v>
      </c>
      <c r="Q66" s="7">
        <v>2.75E-2</v>
      </c>
      <c r="R66" s="7">
        <v>1.8721349999999999E-4</v>
      </c>
      <c r="S66" s="7">
        <v>5.7599999999999997E-7</v>
      </c>
      <c r="T66" s="7">
        <v>7.2720520000000002E-3</v>
      </c>
      <c r="U66" s="7">
        <v>2.7E-6</v>
      </c>
      <c r="V66" s="7">
        <v>0.11550290000000001</v>
      </c>
      <c r="W66" s="7">
        <v>1.3200000000000001E-6</v>
      </c>
      <c r="X66" s="7">
        <v>8.3025840000000004E-2</v>
      </c>
      <c r="Y66" s="7">
        <v>6.4600000000000004E-7</v>
      </c>
      <c r="Z66" s="7">
        <v>0.71915379999999995</v>
      </c>
      <c r="AA66" s="7">
        <v>8.9400000000000008E-6</v>
      </c>
      <c r="AB66" s="7">
        <v>1.4456770000000001E-2</v>
      </c>
      <c r="AC66" s="7">
        <v>1.5299999999999999E-5</v>
      </c>
      <c r="AD66" s="7">
        <v>1.38481E-3</v>
      </c>
      <c r="AE66" s="7">
        <v>2.3199999999999998E-6</v>
      </c>
    </row>
    <row r="67" spans="1:31" x14ac:dyDescent="0.25">
      <c r="G67" s="13" t="s">
        <v>122</v>
      </c>
      <c r="H67" s="14">
        <f>AVERAGE(H65,H66)</f>
        <v>0.70779309710446403</v>
      </c>
    </row>
    <row r="68" spans="1:31" x14ac:dyDescent="0.25">
      <c r="G68" s="13" t="s">
        <v>158</v>
      </c>
      <c r="H68" s="19">
        <f>ABS(H65-H66)/AVERAGE(H65,H66)</f>
        <v>9.5852546951199287E-5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QAQC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J Glessner</dc:creator>
  <cp:lastModifiedBy>Maitland, Bryan - FS, ID</cp:lastModifiedBy>
  <dcterms:created xsi:type="dcterms:W3CDTF">2025-05-20T16:55:17Z</dcterms:created>
  <dcterms:modified xsi:type="dcterms:W3CDTF">2026-07-06T19:14:49Z</dcterms:modified>
</cp:coreProperties>
</file>